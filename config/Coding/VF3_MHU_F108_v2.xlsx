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13_ncr:1_{4F45AF00-A6D3-4F52-88EC-E727F9E6E7ED}" xr6:coauthVersionLast="47" xr6:coauthVersionMax="47" xr10:uidLastSave="{00000000-0000-0000-0000-000000000000}"/>
  <bookViews>
    <workbookView xWindow="-108" yWindow="-108" windowWidth="23256" windowHeight="12456" xr2:uid="{9CA66C49-B4DE-492C-91B7-C912CD554FE0}"/>
  </bookViews>
  <sheets>
    <sheet name="CDS Cod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A" localSheetId="0">#REF!</definedName>
    <definedName name="A">#REF!</definedName>
    <definedName name="aaaa">[1]Selections!$A$2:$A$103</definedName>
    <definedName name="aaab">[1]Selections!$A$2:$A$103</definedName>
    <definedName name="aac">[1]Selections!$A$2:$A$103</definedName>
    <definedName name="Access_Attribute">[1]Selections!$H$2:$H$4</definedName>
    <definedName name="Alert_Behaviour">[1]Selections!$G$2:$G$7</definedName>
    <definedName name="Area">[2]Selections!$I$1:$I$2</definedName>
    <definedName name="asas" localSheetId="0">#REF!</definedName>
    <definedName name="asas">#REF!</definedName>
    <definedName name="Audience">[2]Selections!$C$1:$C$7</definedName>
    <definedName name="Check_Per_Cycle">[1]Selections!$J$2:$J$4</definedName>
    <definedName name="Decode_Type">[2]Selections!$F$1:$F$9</definedName>
    <definedName name="DID_Group">[2]Selections!$E$1:$E$6</definedName>
    <definedName name="DTC_Class">[1]Selections!$F$2:$F$7</definedName>
    <definedName name="ECUDID1">[3]Selections!$I$1:$I$2</definedName>
    <definedName name="FaultList1">[4]Selections!$H$2:$H$4</definedName>
    <definedName name="Hex_LB">[5]Selections!$A$2:$A$103</definedName>
    <definedName name="Implementation">[2]Selections!$I$1:$I$2</definedName>
    <definedName name="Memory">[2]Selections!$G$1:$G$4</definedName>
    <definedName name="MSB_LSB">[2]Selections!$B$1:$B$3</definedName>
    <definedName name="MSB_LSB_List">[6]Selections!$B$1:$B$3</definedName>
    <definedName name="no" localSheetId="0">#REF!</definedName>
    <definedName name="no">#REF!</definedName>
    <definedName name="No_Yes">[2]Selections!$A$1:$A$3</definedName>
    <definedName name="P2_DIDs">[7]Ref_Ranges!$AI$2:$AI$3</definedName>
    <definedName name="P2_ECUPins">OFFSET([8]Ref_Ranges!$N$1,1,0,IF(MATCH("*",[8]Ref_Ranges!$N:$N,-1)&gt;2,MATCH("*",[8]Ref_Ranges!$N:$N,-1),3)-1,1)</definedName>
    <definedName name="P2_ECUType">[7]Header!$D$139:$D$150</definedName>
    <definedName name="P2_ExtDataList">[7]Ref_Ranges!$AE$2:$AE$4</definedName>
    <definedName name="P2_LSDIDList">[7]Ref_Ranges!$X$2:$X$4</definedName>
    <definedName name="P2_SSD3SymtomValidator">[7]Ref_Ranges!$AK$2:$AK$3</definedName>
    <definedName name="P2_Symptom_Validator">OFFSET([7]Ref_Ranges!$P$1,1,0,IF(MATCH("*",[7]Ref_Ranges!$P:$P,-1)&gt;2,MATCH("*",[7]Ref_Ranges!$P:$P,-1),3)-1,1)</definedName>
    <definedName name="PBCU_Codes">[1]Selections!$D$2:$D$5</definedName>
    <definedName name="Priority">[1]Selections!$I$2:$I$6</definedName>
    <definedName name="R_IO_W">[2]Selections!$D$1:$D$9</definedName>
    <definedName name="Req_5" localSheetId="0">'[9]1.General'!#REF!</definedName>
    <definedName name="Req_5">'[10]1.General'!#REF!</definedName>
    <definedName name="s">[11]Selections!$I$2:$I$6</definedName>
    <definedName name="Security_Required">[2]Selections!$H$1:$H$3</definedName>
    <definedName name="Text_LB">[1]Selections!$B$2:$B$103</definedName>
    <definedName name="xxa1">[12]DataBlock!#REF!</definedName>
    <definedName name="xxx1">[12]DataBlock!#REF!</definedName>
    <definedName name="yaa1">[12]DataBlock!#REF!</definedName>
    <definedName name="yes" localSheetId="0">#REF!</definedName>
    <definedName name="yes">#REF!</definedName>
    <definedName name="yes_no">[1]Selections!$E$2:$E$3</definedName>
    <definedName name="yyy1">[12]DataBlock!#REF!</definedName>
    <definedName name="zzz1">[12]DataBlock!#REF!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Nguyễn Vũ Hùng (VF-TTGTKNTM-TTNTĐTOT)</author>
  </authors>
  <commentList>
    <comment ref="L44" authorId="0" shapeId="0" xr:uid="{13306ABB-F4C6-439C-9565-CDF7CC71B98B}">
      <text>
        <r>
          <rPr>
            <b/>
            <sz val="9"/>
            <rFont val="Tahoma"/>
            <family val="2"/>
          </rPr>
          <t>Nguyễn Vũ Hùng (VF-TTGTKNTM-TTNTĐTOT):</t>
        </r>
        <r>
          <rPr>
            <sz val="9"/>
            <rFont val="Tahoma"/>
            <family val="2"/>
          </rPr>
          <t xml:space="preserve">
Unit: %</t>
        </r>
      </text>
    </comment>
  </commentList>
</comments>
</file>

<file path=xl/sharedStrings.xml><?xml version="1.0" encoding="utf-8"?>
<sst xmlns="http://schemas.openxmlformats.org/spreadsheetml/2006/main" count="304" uniqueCount="123">
  <si>
    <t>DID Number (hex)</t>
  </si>
  <si>
    <t>DID Name</t>
  </si>
  <si>
    <t>RWState</t>
  </si>
  <si>
    <t>DataType</t>
  </si>
  <si>
    <t>PLM Family</t>
  </si>
  <si>
    <t>PLM Value</t>
  </si>
  <si>
    <t>DefaultValue</t>
  </si>
  <si>
    <t>Comment</t>
  </si>
  <si>
    <t>0xF108</t>
  </si>
  <si>
    <t>Coding Data String CDS</t>
  </si>
  <si>
    <t>R/W</t>
  </si>
  <si>
    <t>Format Byte</t>
  </si>
  <si>
    <t>MSB/LSB BITPATTERN</t>
  </si>
  <si>
    <t>Short VIN</t>
  </si>
  <si>
    <t>ASCII</t>
  </si>
  <si>
    <t>The last seven characters of the VIN</t>
  </si>
  <si>
    <t>Language</t>
  </si>
  <si>
    <t>MSB/LSB UNSIGNED</t>
  </si>
  <si>
    <t>0x01</t>
  </si>
  <si>
    <t>All bytes 0 means no Coding Data stored</t>
  </si>
  <si>
    <t>N/A</t>
  </si>
  <si>
    <t>Sale area</t>
  </si>
  <si>
    <t>0x1 - D016: VN
0x2 - D015: US
0x3 - D017: Europe
0x4 - D011: Canada
0x5 - D012: Germany
0x6 - D013: France
0x7 - D014: Netherland
0x8 - D01H: Australia
0x9 - D020: Thailand
0xB - D01G: Singapore
0xC - D019: Israel
0xD - D01D: Malaysia
0xE - D01E: Indonesia
0xF - D01B: Lao
0x10 - D01C: Cambodia
0x11 - D01I: Phillipines
0x12 - D01K: Myanmar
0x13 - D01L: Nepal
0x14 - D01M: Turkey
0x15 - D01N: Lebanon
0x16 - D01O: Nigeria
0x17 - D01P: India
0x18 - D01Q: Mexico
0x19 - D01A: Asia
0x21 - D01T: Middle East
0x22 - D01U: Italy
0x23 - D01V: Spain
0x24 - D01W: Belgium
0x25 - D01X: Austria
0x26 - D01Y: Poland
0x27 - D01Z: Sweden
0x28 - DA1A: Switzerland
0x29 - DA1B: Romania
0x2A - DA1C: Greece
0x2B - DA1D: Mongolia
0x2C - DA1E: Hong kong
0x2D - DA1F: Bhutan
0x2E - DA1G: Sri Lanka
0x2F - DA1H: Pakistan
0x30 - DA1I: Taiwan
0x31 - DA1J: Palestine
0x32 - DA1K: Bangladesh
0x33 - DA1L: Brazil
0x34 - DA1N: Chile
0x35 - DA1O: Dominica
0x36 - DA1P: Panama
0x37 - DA1Q: Colombia
0x38 - DA1R: Peru
0x39 - DA1S: Costa Rica
0x3A - DA1T: Saudi Arabia
0x3B - DA1U: UAE
0x3C - DA1V: Oman
0x3D - DA1W: Kuwait
0x3E - DA1X: Qatar
0x3F - DA1Y: Bahrain
0x40 - DA1Z: Jordan
0x41 - DA11: United Kingdom
0x42 - DA12: Ireland
0x43 - DA13: Norway- Na uy
0x44 - DA14: Denmark
0x45 - DA15: Finland
0x46 - DA16: Czech Republic
0x47 - DA17: Hungary
0x48 - DA18: Slovakia
0x49 - DA19: Portugal
0x4A - DB1A: Armenia
0x4B - DB1B: Kyrgyzstan
0x4C - DB11: Egypt
0x4D - DB12: South Africa
0x4E - DB13: Maroc
0x4F - DB14: Kazachstan
0x50 - DB15: Russia
0x51 - DB16: Georgia
0x52 - DB17: Uzbekistan
0x53 - DB18: Azerbaijan
0x54 - DB19: Tajikistan</t>
  </si>
  <si>
    <t>AECFactor</t>
  </si>
  <si>
    <t>0x64</t>
  </si>
  <si>
    <t>Range from 0-200 decimal</t>
  </si>
  <si>
    <t>Fog Light</t>
  </si>
  <si>
    <t>0x1</t>
  </si>
  <si>
    <t>Emergency Call</t>
  </si>
  <si>
    <t>0x2</t>
  </si>
  <si>
    <t>PnC (Plug and Charge)</t>
  </si>
  <si>
    <t>Welcome light</t>
  </si>
  <si>
    <t>Wireless Charger</t>
  </si>
  <si>
    <t>Side Mirror Memory</t>
  </si>
  <si>
    <t>Intersection Assist</t>
  </si>
  <si>
    <t>coublomb factor</t>
  </si>
  <si>
    <t>the coublomb factor is using to estimate charging time</t>
  </si>
  <si>
    <t>Platform</t>
  </si>
  <si>
    <t>0x4</t>
  </si>
  <si>
    <t>Vehicle Type</t>
  </si>
  <si>
    <t>0x60 - GI10V: BASE_VN_GOTION
0x61 - GI10P: Base_LHD_PHILIPPINES
0x62 - GI10I : Base_RHD_INDONESIA
0x63 - GI10E :Base_LHD_EU</t>
  </si>
  <si>
    <t>Reserve</t>
  </si>
  <si>
    <t>0x0</t>
  </si>
  <si>
    <t>These bytes will be reserved for future</t>
  </si>
  <si>
    <t>HUD</t>
  </si>
  <si>
    <t>Ionizer</t>
  </si>
  <si>
    <t>LHD/RHD</t>
  </si>
  <si>
    <t>Child Presence Detection</t>
  </si>
  <si>
    <t>Roof Type</t>
  </si>
  <si>
    <t>Rear Wireless Charger (RWLC)</t>
  </si>
  <si>
    <t>Just supported for VF9 until now, other programs has filled value as Unsupported</t>
  </si>
  <si>
    <t>Air Condition</t>
  </si>
  <si>
    <t>0x5</t>
  </si>
  <si>
    <t>Keyless start/stop with brake on BEV</t>
  </si>
  <si>
    <t>Keyless entry</t>
  </si>
  <si>
    <t>Outside rear view mirror heating</t>
  </si>
  <si>
    <t>Tire Size</t>
  </si>
  <si>
    <t>0x03</t>
  </si>
  <si>
    <t>Vehicle Name</t>
  </si>
  <si>
    <t>0x07</t>
  </si>
  <si>
    <t>Lane Departure Warning</t>
  </si>
  <si>
    <t>0x1 - W530
0x2 - W531</t>
  </si>
  <si>
    <t>Lane Keeping Assist</t>
  </si>
  <si>
    <t>0x1 - K530
0x2 - K531</t>
  </si>
  <si>
    <t>FOTA support</t>
  </si>
  <si>
    <t>Door opening Warning oncoming traffic</t>
  </si>
  <si>
    <t>Radio support</t>
  </si>
  <si>
    <t>Trailer Module (TRM）</t>
  </si>
  <si>
    <t>Electric Tail Gate</t>
  </si>
  <si>
    <t>Foot Kick Sensor (FKS)</t>
  </si>
  <si>
    <t>Driver Seat Heated</t>
  </si>
  <si>
    <t>Driver Seat Ventilation</t>
  </si>
  <si>
    <t xml:space="preserve">Front Pass. seat Ventilation
</t>
  </si>
  <si>
    <t>Front Pass. seat Heated</t>
  </si>
  <si>
    <t>HV battery threshold for pet mode</t>
  </si>
  <si>
    <t>The minimum threshold shall be adjustable from calibration,  following Pet mode specification [VTM-7096] SC036 - Pet Mode - MHU Requirements</t>
  </si>
  <si>
    <t>SpeedometerFactor</t>
  </si>
  <si>
    <t>Delta  display speed and true speed</t>
  </si>
  <si>
    <t>HV battery threshold for camp mode</t>
  </si>
  <si>
    <t>The minimum threshold shall be adjustable from calibration, following Camp mode specification [VTM-7107] SC037 - Camp Mode - MHU Requirements</t>
  </si>
  <si>
    <t>Check compliant with previous CDS version</t>
  </si>
  <si>
    <t>0x729CD248</t>
  </si>
  <si>
    <t>CRC</t>
  </si>
  <si>
    <t>$Parameter</t>
  </si>
  <si>
    <t>$BytePos (from 0)</t>
  </si>
  <si>
    <t>$BitPos</t>
  </si>
  <si>
    <t>$BitLength</t>
  </si>
  <si>
    <t>$MethodType</t>
  </si>
  <si>
    <t xml:space="preserve">
0x0=Unsupported
0x1=Vietnamese
0x2=English
0x3=Chinese
0x4=German
0x5=Russia
0x6=Japaness
0x7=Korean
0x8=French
0x9=Francais (Canada)
0xA=Dutch
0xB=Spanish
0xC=Hebrew
0xFF=Invalid</t>
  </si>
  <si>
    <t xml:space="preserve">
0x0=Unsupported
0x1=Without Fog Light
0x2=Front
0x3=Front and Rear
0x4=Rear Fog light only
0xF=Invalid</t>
  </si>
  <si>
    <t xml:space="preserve">
0x0=Unsupported 
0x1=Without Emergency Calls
0x2=with Emergency Calls
0x3=Invalid</t>
  </si>
  <si>
    <t xml:space="preserve">
0x0=Unsupported 
0x1=without PnC
0x2=with PnC
0x3=Invalid</t>
  </si>
  <si>
    <t xml:space="preserve">
0x0=Unsupported
0x1=Without
0x2=With
0x3=invalid</t>
  </si>
  <si>
    <t xml:space="preserve">
0x0=Unsupported
0x1=With WLC
0x2=Without WLC
0x3=invalid</t>
  </si>
  <si>
    <t xml:space="preserve">
0x0=Unsupported
0x1=Without Side Mirror Memory
0x2=With Side Mirror Memory
0x3=Invalid</t>
  </si>
  <si>
    <t xml:space="preserve">
0x0=Unsupported
0x1=Without Intersection Assist
0x2=With Intersection Assist
0x3=Invalid</t>
  </si>
  <si>
    <t xml:space="preserve">
0x0=Unsupported
0x1=SUV
0x2=SEDAN
0x3=eBUS
0x4=Mini-Car
0xF=Invalid</t>
  </si>
  <si>
    <t xml:space="preserve">
0x0=Unsupported
0x1=Without HUD
0x2=With HUD
0x3=invalid</t>
  </si>
  <si>
    <t xml:space="preserve">
0x0=without
0x1=with
0x3=Invalid</t>
  </si>
  <si>
    <t xml:space="preserve">
0x0=Unsupported
0x1=Left hand drive
0x2=Right hand drive
0x3=Invalid</t>
  </si>
  <si>
    <t xml:space="preserve">
0x0=Unsupported
0x1=Without CPD
0x2=With CPD
0x3=invalid</t>
  </si>
  <si>
    <t xml:space="preserve">
0x0=Unsupported
0x1=Panoramic Roof
0x2=Steel Roof
0x3=invalid</t>
  </si>
  <si>
    <t xml:space="preserve">
0x0=Unsupported
0x1=without RWLC
0x2=with RWLC
0x3=Invalid</t>
  </si>
  <si>
    <t xml:space="preserve">
0x0=Unsupported
0x1=2  1/2 zone automatic
0x2=2 zone automatic
0x3=3 zone automatic
0x4=1 zone automatic
0x5= 1 zone Manual
0xF=Invalid</t>
  </si>
  <si>
    <t xml:space="preserve">
0x0=Unsupported
0x1=Without Keyless start/stop with brake on BEV
0x2=With Keyless start/stop with brake on BEV
0x3=Invalid</t>
  </si>
  <si>
    <t xml:space="preserve">
0x0=Unsupported
0x1=Without Keyless entry
0x2=With Keyless entry
0x3=Invalid</t>
  </si>
  <si>
    <t xml:space="preserve">
0x0=Unsupported
0x1=Without Outside rear view mirror heating
0x2=With Outside rear view mirror heating
0x3=Invalid</t>
  </si>
  <si>
    <t xml:space="preserve">
0x0=Unsupported
0x1=16"
0x2=17"
0x3=18"
0x4=19"
0x5=20"
0x6=21"
0x7= 22"
0xFF=Invalid</t>
  </si>
  <si>
    <t xml:space="preserve">
0x0=Unsupported
0x1=VF8/VF35
0x2=VFe34
0x3=VF9/VF36
0x4=VF6/VF33
0x5=VF7/VF34
0x6=VF5/VF32
0x7=VF3
0xFF=Invalid</t>
  </si>
  <si>
    <t xml:space="preserve">
0x0=Unsupported 
0x1=Without Lane Departure Warning
0x2=With Lane Departure Warning
0x3=invalid</t>
  </si>
  <si>
    <t xml:space="preserve">
0x0=Unsupported 
0x1=Without Lane Keeping Assist
0x2=With Lane Keeping Assist
0x3=invalid</t>
  </si>
  <si>
    <t xml:space="preserve">
0x0=Unsupported 
0x1=Without FOTA
0x2=with FOTA
0x3=Invalid</t>
  </si>
  <si>
    <t xml:space="preserve">
0x0=Unsupported 
0x1=Without Door opening Warning oncoming traffic
0x2=With Door opening Warning oncoming traffic
0x3=invalid</t>
  </si>
  <si>
    <t xml:space="preserve">
0x0=Unsupported 
0x1=Without Radio Support
0x2=with Radio Support
0x3=Invalid</t>
  </si>
  <si>
    <t xml:space="preserve">
0x0=Unsupported
0x1=with TRM
0x2=without TRM
0x3=Invalid</t>
  </si>
  <si>
    <t xml:space="preserve">
0x0=Unsupported
0x1=Without Electric Tail Gate
0x2=With Electric Tail Gate
0x3=Invalid</t>
  </si>
  <si>
    <t xml:space="preserve">
0x0=Unsupported
0x1=with FKS
0x2=without FKS
0x3=Invalid</t>
  </si>
  <si>
    <t xml:space="preserve">
0x0= Without Driver Seat Heated
0x1= With Driver Seat Heated
0x3=Invalid</t>
  </si>
  <si>
    <t xml:space="preserve">
0x0=Unsupported
0x1=Without Driver Seat Ventilation
0x2=With Driver Seat Ventilation
0x3=invalid</t>
  </si>
  <si>
    <t xml:space="preserve">
0x0=Unsupported
0x1=Without Front Pass. seat Ventilation
0x2=With Front Pass. seat Ventilation
0x3=invalid</t>
  </si>
  <si>
    <t xml:space="preserve">
0x0=Unsupported
0x1=Without Front Pass. seat Heated
0x2=With Front Pass. seat Heated
0x3=invalid</t>
  </si>
  <si>
    <t xml:space="preserve">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</si>
  <si>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>0x00 = Unsupported
0x10 = TAXI
0x11 = TAXI
0x12 = TAXI
0x13 = TAXI
0x14 = TAXI
0x15 = TAXI
0x16 = TAXI
0x17 = TAXI
0x18 = TAXI
0x19 = TAXI
0x1A = TAXI
0x1B = TAXI
0x1C = TAXI
0x1D = TAXI
0x1E = TAXI
0x1F = TAXI
0x20 = ECO
0x21 = ECO
0x22 = ECO
0x23 = ECO
0x24 = ECO
0x25 = ECO
0x26 = ECO
0x27 = ECO
0x28 = ECO
0x29 = ECO
0x2A = ECO
0x2B = ECO
0x2C = ECO
0x2D = ECO
0x2E = ECO
0x2F = ECO
0x30 = ECO
0x31 = ECO
0x32 = ECO
0x33 = ECO
0x34 = ECO
0x35 = ECO
0x36 = ECO
0x37 = ECO
0x38 = ECO
0x39 = ECO
0x3A = ECO
0x3B = ECO
0x3C = ECO
0x3D = ECO
0x3E = ECO
0x3F = ECO
0x40 = PLUS
0x41 = PLUS
0x42 = PLUS
0x43 = PLUS
0x44 = PLUS
0x45 = PLUS
0x46 = PLUS
0x47 = PLUS
0x48 = PLUS
0x49 = PLUS
0x4A = PLUS
0x4B = PLUS
0x4C = PLUS
0x4D = PLUS
0x4E = PLUS
0x4F = PLUS
0x50 = PLUS
0x51 = PLUS
0x52 = PLUS
0x53 = PLUS
0x54 = PLUS
0x55 = PLUS
0x56 = PLUS
0x57 = PLUS
0x58 = PLUS
0x59 = PLUS
0x5A = PLUS
0x5B = PLUS
0x5C = PLUS
0x5D = PLUS
0x5E = PLUS
0x5F = PLUS
0x60 = BASE
0x61 = BASE
0x62 = BASE
0x63 = BASE
0x64 = BASE
0x65 = BASE
0x66 = BASE
0x67 = BASE
0x68 = BASE
0x69 = BASE
0x6A = BASE
0x6B = BASE
0x6C = BASE
0x6D = BASE
0x6E = BASE
0x6F = BASE
0x70 = BASE
0x71 = BASE
0x72 = BASE
0x73 = BASE
0x74 = BASE
0x75 = BASE
0x76 = BASE
0x77 = BASE
0x78 = BASE
0x79 = BASE
0x7A = BASE
0x7B = BASE
0x7C = BASE
0x7D = BASE
0x7E = BASE
0x7F = BASE
0x80 = Reserved
0x81 = Reserved
0x82 = Reserved
0x83 = Reserved
0x84 = Reserved
0x85 = Reserved
0x86 = Reserved
0x87 = Reserved
0x88 = Reserved
0x89 = Reserved
0x8A = Reserved
0x8B = Reserved
0x8C = Reserved
0x8D = Reserved
0x8E = Reserved
0x8F = Reserved
0x90 = Reserved
0x91 = Reserved
0x92 = Reserved
0x93 = Reserved
0x94 = Reserved
0x95 = Reserved
0x96 = Reserved
0x97 = Reserved
0x98 = Reserved
0x99 = Reserved
0x9A = Reserved
0x9B = Reserved
0x9C = Reserved
0x9D = Reserved
0x9E = Reserved
0x9F = Reserved
0xA0 = Reserved
0xA1 = Reserved
0xA2 = Reserved
0xA3 = Reserved
0xA4 = Reserved
0xA5 = Reserved
0xA6 = Reserved
0xA7 = Reserved
0xA8 = Reserved
0xA9 = Reserved
0xAA = Reserved
0xAB = Reserved
0xAC = Reserved
0xAD = Reserved
0xAE = Reserved
0xAF = Reserved
0xB0 = Reserved
0xB1 = Reserved
0xB2 = Reserved
0xB3 = Reserved
0xB4 = Reserved
0xB5 = Reserved
0xB6 = Reserved
0xB7 = Reserved
0xB8 = Reserved
0xB9 = Reserved
0xBA = Reserved
0xBB = Reserved
0xBC = Reserved
0xBD = Reserved
0xBE = Reserved
0xBF = Reserved
0xC0 = Reserved
0xC1 = Reserved
0xC2 = Reserved
0xC3 = Reserved
0xC4 = Reserved
0xC5 = Reserved
0xC6 = Reserved
0xC7 = Reserved
0xC8 = Reserved
0xC9 = Reserved
0xCA = Reserved
0xCB = Reserved
0xCC = Reserved
0xCD = Reserved
0xCE = Reserved
0xCF = Reserved
0xD0 = Reserved
0xD1 = Reserved
0xD2 = Reserved
0xD3 = Reserved
0xD4 = Reserved
0xD5 = Reserved
0xD6 = Reserved
0xD7 = Reserved
0xD8 = Reserved
0xD9 = Reserved
0xDA = Reserved
0xDB = Reserved
0xDC = Reserved
0xDD = Reserved
0xDE = Reserved
0xDF = Reserved
0xE0 = Reserved
0xE1 = Reserved
0xE2 = Reserved
0xE3 = Reserved
0xE4 = Reserved
0xE5 = Reserved
0xE6 = Reserved
0xE7 = Reserved
0xE8 = Reserved
0xE9 = Reserved
0xEA = Reserved
0xEB = Reserved
0xEC = Reserved
0xED = Reserved
0xEE = Reserved
0xEF = Reserved
0xF0 = Reserved
0xF1 = Reserved
0xF2 = Reserved
0xF3 = Reserved
0xF4 = Reserved
0xF5 = Reserved
0xF6 = Reserved
0xF7 = Reserved
0xF8 = Reserved
0xF9 = Reserved
0xFA = Reserved
0xFB = Reserved
0xFC = Reserved
0xFD = Reserved
0xFE = Reserved
0xFF =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</si>
</sst>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  <charset val="134"/>
    </font>
    <font>
      <sz val="12"/>
      <name val="宋体"/>
      <charset val="134"/>
    </font>
    <font>
      <sz val="11"/>
      <color indexed="8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1"/>
      <color indexed="23"/>
      <name val="Calibri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9"/>
      <name val="Tahoma"/>
      <family val="2"/>
    </font>
    <font>
      <sz val="9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36">
    <xf numFmtId="0" fontId="0" fillId="0" borderId="0" xfId="0"/>
    <xf numFmtId="0" fontId="2" fillId="0" borderId="0" xfId="2" applyFont="1" applyAlignment="1">
      <alignment vertical="center" wrapText="1"/>
    </xf>
    <xf numFmtId="0" fontId="2" fillId="0" borderId="0" xfId="2" applyFont="1" applyAlignment="1">
      <alignment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9" fontId="9" fillId="0" borderId="1" xfId="5" applyNumberForma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horizontal="left" vertical="center" wrapText="1"/>
    </xf>
    <xf numFmtId="0" fontId="0" fillId="0" borderId="1" xfId="1" applyFont="1" applyFill="1" applyBorder="1" applyAlignment="1">
      <alignment horizontal="left" vertical="center"/>
    </xf>
    <xf numFmtId="0" fontId="13" fillId="3" borderId="1" xfId="1" applyFont="1" applyFill="1" applyBorder="1" applyAlignment="1">
      <alignment horizontal="left" vertical="center" wrapText="1"/>
    </xf>
    <xf numFmtId="0" fontId="0" fillId="3" borderId="1" xfId="1" applyFont="1" applyFill="1" applyBorder="1" applyAlignment="1">
      <alignment horizontal="left" vertical="center" wrapText="1"/>
    </xf>
  </cellXfs>
  <cellStyles count="6">
    <cellStyle name="Explanatory Text" xfId="1" builtinId="53"/>
    <cellStyle name="Normal" xfId="0" builtinId="0"/>
    <cellStyle name="Normal 35" xfId="5" xr:uid="{6F4093A7-5B40-41BE-A16B-81864D1E9A6A}"/>
    <cellStyle name="Normal 5" xfId="2" xr:uid="{E8277CF1-4CE6-497F-AFB8-D1070B994B11}"/>
    <cellStyle name="Normal 6 3" xfId="4" xr:uid="{E066D3DC-9743-4C33-9D69-04AD1F1785F6}"/>
    <cellStyle name="Standard" xfId="3" xr:uid="{99FC21D1-A28A-4CC3-9E38-2C12189E48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nhvt10/Desktop/VFe34_GauTui_Requirement_Discussion_External_1307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fevglobal.sharepoint.com\Users\minhvt10\Desktop\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Priyanka\NEXON_EV_Working\Design\EOL\DTC\TML_ECU_Specific_DTC_Template_List_Draf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s-file02-vp\Priyanka\NEXON_EV_Working\Design\EOL\DTC\TML_VCU_Specific_DTC_List_V11_reviewV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technologies-my.sharepoint.com\In\BCM\DID%20list\BCM_Specific_DID_List_v4.2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\&#39033;&#30446;&#36164;&#26009;\&#27743;&#28142;S4\&#29790;&#39118;S4_EPS&#35786;&#26029;&#35268;&#33539;V1.8_20190301(2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/&#39033;&#30446;&#36164;&#26009;/&#27743;&#28142;S4/&#29790;&#39118;S4_EPS&#35786;&#26029;&#35268;&#33539;V1.8_20190301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Documents%20and%20Settings\dpp239883\Local%20Settings\Temporary%20Internet%20Files\Content.Outlook\W3FP3UYP\TML_OBD_Project%20-%20ECU%20Specific%20DTC%20Template%20List%20-%203.x.x_v0.2_TML_Review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s-file02-vp\02_Hybrid&amp;EV\07_VinFast_EV\B_Car\02_Documents\04_CustomerDoc\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  <cell r="B2" t="str">
            <v>no sub type information</v>
          </cell>
          <cell r="D2" t="str">
            <v>Body</v>
          </cell>
          <cell r="E2" t="str">
            <v>No</v>
          </cell>
          <cell r="F2" t="str">
            <v>A1</v>
          </cell>
          <cell r="G2" t="str">
            <v>MO</v>
          </cell>
          <cell r="H2" t="str">
            <v>Gen</v>
          </cell>
          <cell r="I2">
            <v>1</v>
          </cell>
          <cell r="J2" t="str">
            <v>OPC</v>
          </cell>
        </row>
        <row r="3">
          <cell r="A3" t="str">
            <v>01</v>
          </cell>
          <cell r="B3" t="str">
            <v>General Electrical Failure</v>
          </cell>
          <cell r="D3" t="str">
            <v>Chassis</v>
          </cell>
          <cell r="E3" t="str">
            <v>Yes</v>
          </cell>
          <cell r="F3" t="str">
            <v>A2</v>
          </cell>
          <cell r="G3" t="str">
            <v>WLO</v>
          </cell>
          <cell r="H3" t="str">
            <v>Dev</v>
          </cell>
          <cell r="I3">
            <v>2</v>
          </cell>
          <cell r="J3" t="str">
            <v>MPC</v>
          </cell>
        </row>
        <row r="4">
          <cell r="A4" t="str">
            <v>02</v>
          </cell>
          <cell r="B4" t="str">
            <v>General signal failure</v>
          </cell>
          <cell r="D4" t="str">
            <v>Network</v>
          </cell>
          <cell r="F4" t="str">
            <v>B</v>
          </cell>
          <cell r="G4" t="str">
            <v>WLB</v>
          </cell>
          <cell r="I4">
            <v>3</v>
          </cell>
          <cell r="J4" t="str">
            <v>See FDC Strategy Columns</v>
          </cell>
        </row>
        <row r="5">
          <cell r="A5" t="str">
            <v>03</v>
          </cell>
          <cell r="B5" t="str">
            <v>FM (Frequency Modulated) / PWM (Pulse Width Modulated) Failure</v>
          </cell>
          <cell r="D5" t="str">
            <v>Powertrain</v>
          </cell>
          <cell r="F5" t="str">
            <v>C</v>
          </cell>
          <cell r="G5" t="str">
            <v>Generic Warning Text</v>
          </cell>
          <cell r="I5">
            <v>4</v>
          </cell>
        </row>
        <row r="6">
          <cell r="A6" t="str">
            <v>04</v>
          </cell>
          <cell r="B6" t="str">
            <v>System Internal Failures</v>
          </cell>
          <cell r="F6" t="str">
            <v>D</v>
          </cell>
          <cell r="G6" t="str">
            <v>Specific Warning Text</v>
          </cell>
          <cell r="I6">
            <v>5</v>
          </cell>
        </row>
        <row r="7">
          <cell r="A7" t="str">
            <v>05</v>
          </cell>
          <cell r="B7" t="str">
            <v>System Programming Failures</v>
          </cell>
          <cell r="F7" t="str">
            <v>E</v>
          </cell>
          <cell r="G7" t="str">
            <v>None</v>
          </cell>
        </row>
        <row r="8">
          <cell r="A8" t="str">
            <v>06</v>
          </cell>
          <cell r="B8" t="str">
            <v>Algorithm Based Failures</v>
          </cell>
        </row>
        <row r="9">
          <cell r="A9" t="str">
            <v>07</v>
          </cell>
          <cell r="B9" t="str">
            <v>Mechanical Failures</v>
          </cell>
        </row>
        <row r="10">
          <cell r="A10" t="str">
            <v>08</v>
          </cell>
          <cell r="B10" t="str">
            <v>Bus Signal / Message Failures</v>
          </cell>
        </row>
        <row r="11">
          <cell r="A11" t="str">
            <v>09</v>
          </cell>
          <cell r="B11" t="str">
            <v>Component Failures</v>
          </cell>
        </row>
        <row r="12">
          <cell r="A12">
            <v>11</v>
          </cell>
          <cell r="B12" t="str">
            <v>circuit short to ground</v>
          </cell>
        </row>
        <row r="13">
          <cell r="A13">
            <v>12</v>
          </cell>
          <cell r="B13" t="str">
            <v>circuit short to battery</v>
          </cell>
        </row>
        <row r="14">
          <cell r="A14">
            <v>13</v>
          </cell>
          <cell r="B14" t="str">
            <v>circuit open</v>
          </cell>
        </row>
        <row r="15">
          <cell r="A15">
            <v>14</v>
          </cell>
          <cell r="B15" t="str">
            <v>circuit short to ground or open</v>
          </cell>
        </row>
        <row r="16">
          <cell r="A16">
            <v>15</v>
          </cell>
          <cell r="B16" t="str">
            <v>circuit short to battery or open</v>
          </cell>
        </row>
        <row r="17">
          <cell r="A17">
            <v>16</v>
          </cell>
          <cell r="B17" t="str">
            <v>circuit voltage below threshold</v>
          </cell>
        </row>
        <row r="18">
          <cell r="A18">
            <v>17</v>
          </cell>
          <cell r="B18" t="str">
            <v>circuit voltage above threshold</v>
          </cell>
        </row>
        <row r="19">
          <cell r="A19">
            <v>18</v>
          </cell>
          <cell r="B19" t="str">
            <v>circuit current below threshold</v>
          </cell>
        </row>
        <row r="20">
          <cell r="A20">
            <v>19</v>
          </cell>
          <cell r="B20" t="str">
            <v>circuit current above threshold</v>
          </cell>
        </row>
        <row r="21">
          <cell r="A21" t="str">
            <v>1A</v>
          </cell>
          <cell r="B21" t="str">
            <v>circuit resistance below threshold</v>
          </cell>
        </row>
        <row r="22">
          <cell r="A22" t="str">
            <v>1B</v>
          </cell>
          <cell r="B22" t="str">
            <v>circuit resistance above threshold</v>
          </cell>
        </row>
        <row r="23">
          <cell r="A23" t="str">
            <v>1C</v>
          </cell>
          <cell r="B23" t="str">
            <v>circuit voltage out of range</v>
          </cell>
        </row>
        <row r="24">
          <cell r="A24" t="str">
            <v>1D</v>
          </cell>
          <cell r="B24" t="str">
            <v>circuit current out of range</v>
          </cell>
        </row>
        <row r="25">
          <cell r="A25" t="str">
            <v>1E</v>
          </cell>
          <cell r="B25" t="str">
            <v>circuit resistance out of range</v>
          </cell>
        </row>
        <row r="26">
          <cell r="A26" t="str">
            <v>1F</v>
          </cell>
          <cell r="B26" t="str">
            <v>circuit intermittent</v>
          </cell>
        </row>
        <row r="27">
          <cell r="A27">
            <v>21</v>
          </cell>
          <cell r="B27" t="str">
            <v>signal amplitude &lt; minimum</v>
          </cell>
        </row>
        <row r="28">
          <cell r="A28">
            <v>22</v>
          </cell>
          <cell r="B28" t="str">
            <v>signal amplitude &gt; maximum</v>
          </cell>
        </row>
        <row r="29">
          <cell r="A29">
            <v>23</v>
          </cell>
          <cell r="B29" t="str">
            <v>signal stuck low</v>
          </cell>
        </row>
        <row r="30">
          <cell r="A30">
            <v>24</v>
          </cell>
          <cell r="B30" t="str">
            <v>signal stuck high</v>
          </cell>
        </row>
        <row r="31">
          <cell r="A31">
            <v>25</v>
          </cell>
          <cell r="B31" t="str">
            <v>signal shape / waveform failure</v>
          </cell>
        </row>
        <row r="32">
          <cell r="A32">
            <v>26</v>
          </cell>
          <cell r="B32" t="str">
            <v>signal rate of change below threshold</v>
          </cell>
        </row>
        <row r="33">
          <cell r="A33">
            <v>27</v>
          </cell>
          <cell r="B33" t="str">
            <v>signal rate of change above threshold</v>
          </cell>
        </row>
        <row r="34">
          <cell r="A34">
            <v>28</v>
          </cell>
          <cell r="B34" t="str">
            <v>signal bias level out of range / zero adjustment failure</v>
          </cell>
        </row>
        <row r="35">
          <cell r="A35">
            <v>29</v>
          </cell>
          <cell r="B35" t="str">
            <v>signal invalid</v>
          </cell>
        </row>
        <row r="36">
          <cell r="A36" t="str">
            <v>2A</v>
          </cell>
          <cell r="B36" t="str">
            <v>signal stuck in range</v>
          </cell>
        </row>
        <row r="37">
          <cell r="A37" t="str">
            <v>2B</v>
          </cell>
          <cell r="B37" t="str">
            <v>signal cross coupled</v>
          </cell>
        </row>
        <row r="38">
          <cell r="A38" t="str">
            <v>2F</v>
          </cell>
          <cell r="B38" t="str">
            <v>signal erratic</v>
          </cell>
        </row>
        <row r="39">
          <cell r="A39">
            <v>31</v>
          </cell>
          <cell r="B39" t="str">
            <v>No Signal</v>
          </cell>
        </row>
        <row r="40">
          <cell r="A40">
            <v>32</v>
          </cell>
          <cell r="B40" t="str">
            <v>Signal Low Time &lt; Minimum</v>
          </cell>
        </row>
        <row r="41">
          <cell r="A41">
            <v>33</v>
          </cell>
          <cell r="B41" t="str">
            <v>Signal Low Time &gt; Maximum</v>
          </cell>
        </row>
        <row r="42">
          <cell r="A42">
            <v>34</v>
          </cell>
          <cell r="B42" t="str">
            <v>Signal High Time &lt; Minimum</v>
          </cell>
        </row>
        <row r="43">
          <cell r="A43">
            <v>35</v>
          </cell>
          <cell r="B43" t="str">
            <v>Signal High Time &gt; Maximum</v>
          </cell>
        </row>
        <row r="44">
          <cell r="A44">
            <v>36</v>
          </cell>
          <cell r="B44" t="str">
            <v>Signal Frequency Too Low</v>
          </cell>
        </row>
        <row r="45">
          <cell r="A45">
            <v>37</v>
          </cell>
          <cell r="B45" t="str">
            <v>Signal Frequency Too High</v>
          </cell>
        </row>
        <row r="46">
          <cell r="A46">
            <v>38</v>
          </cell>
          <cell r="B46" t="str">
            <v>Signal Frequency Incorrect</v>
          </cell>
        </row>
        <row r="47">
          <cell r="A47">
            <v>39</v>
          </cell>
          <cell r="B47" t="str">
            <v>Signal Has Too Few Pulses</v>
          </cell>
        </row>
        <row r="48">
          <cell r="A48" t="str">
            <v>3A</v>
          </cell>
          <cell r="B48" t="str">
            <v>Signal Has Too Many Pulses</v>
          </cell>
        </row>
        <row r="49">
          <cell r="A49">
            <v>41</v>
          </cell>
          <cell r="B49" t="str">
            <v>general checksum failure</v>
          </cell>
        </row>
        <row r="50">
          <cell r="A50">
            <v>42</v>
          </cell>
          <cell r="B50" t="str">
            <v>general memory failure</v>
          </cell>
        </row>
        <row r="51">
          <cell r="A51">
            <v>43</v>
          </cell>
          <cell r="B51" t="str">
            <v>special memory failure</v>
          </cell>
        </row>
        <row r="52">
          <cell r="A52">
            <v>44</v>
          </cell>
          <cell r="B52" t="str">
            <v>data memory failure</v>
          </cell>
        </row>
        <row r="53">
          <cell r="A53">
            <v>45</v>
          </cell>
          <cell r="B53" t="str">
            <v>program memory failure</v>
          </cell>
        </row>
        <row r="54">
          <cell r="A54">
            <v>46</v>
          </cell>
          <cell r="B54" t="str">
            <v>calibration / parameter memory failure</v>
          </cell>
        </row>
        <row r="55">
          <cell r="A55">
            <v>47</v>
          </cell>
          <cell r="B55" t="str">
            <v>watchdog / safety MicroController failure</v>
          </cell>
        </row>
        <row r="56">
          <cell r="A56">
            <v>48</v>
          </cell>
          <cell r="B56" t="str">
            <v>supervision software failure</v>
          </cell>
        </row>
        <row r="57">
          <cell r="A57">
            <v>49</v>
          </cell>
          <cell r="B57" t="str">
            <v>internal electronic failure</v>
          </cell>
        </row>
        <row r="58">
          <cell r="A58" t="str">
            <v>4A</v>
          </cell>
          <cell r="B58" t="str">
            <v>Incorrect Component Installed</v>
          </cell>
        </row>
        <row r="59">
          <cell r="A59" t="str">
            <v>4B</v>
          </cell>
          <cell r="B59" t="str">
            <v>over temperature</v>
          </cell>
        </row>
        <row r="60">
          <cell r="A60">
            <v>51</v>
          </cell>
          <cell r="B60" t="str">
            <v>not programmed</v>
          </cell>
        </row>
        <row r="61">
          <cell r="A61">
            <v>52</v>
          </cell>
          <cell r="B61" t="str">
            <v>not activated</v>
          </cell>
        </row>
        <row r="62">
          <cell r="A62">
            <v>53</v>
          </cell>
          <cell r="B62" t="str">
            <v>deactivated</v>
          </cell>
        </row>
        <row r="63">
          <cell r="A63">
            <v>54</v>
          </cell>
          <cell r="B63" t="str">
            <v>missing calibration</v>
          </cell>
        </row>
        <row r="64">
          <cell r="A64">
            <v>55</v>
          </cell>
          <cell r="B64" t="str">
            <v>not configured</v>
          </cell>
        </row>
        <row r="65">
          <cell r="A65">
            <v>56</v>
          </cell>
          <cell r="B65" t="str">
            <v>Invalid / incomplete configuration</v>
          </cell>
        </row>
        <row r="66">
          <cell r="A66">
            <v>57</v>
          </cell>
          <cell r="B66" t="str">
            <v>invalid / incomplete software component</v>
          </cell>
        </row>
        <row r="67">
          <cell r="A67">
            <v>61</v>
          </cell>
          <cell r="B67" t="str">
            <v>signal calculation failure</v>
          </cell>
        </row>
        <row r="68">
          <cell r="A68">
            <v>62</v>
          </cell>
          <cell r="B68" t="str">
            <v>signal compare failure</v>
          </cell>
        </row>
        <row r="69">
          <cell r="A69">
            <v>63</v>
          </cell>
          <cell r="B69" t="str">
            <v>circuit / component protection time-out</v>
          </cell>
        </row>
        <row r="70">
          <cell r="A70">
            <v>64</v>
          </cell>
          <cell r="B70" t="str">
            <v>signal plausibility failure</v>
          </cell>
        </row>
        <row r="71">
          <cell r="A71">
            <v>65</v>
          </cell>
          <cell r="B71" t="str">
            <v>signal has too few transitions / events</v>
          </cell>
        </row>
        <row r="72">
          <cell r="A72">
            <v>66</v>
          </cell>
          <cell r="B72" t="str">
            <v>signal has too many transitions / events</v>
          </cell>
        </row>
        <row r="73">
          <cell r="A73">
            <v>67</v>
          </cell>
          <cell r="B73" t="str">
            <v>supervision software failure</v>
          </cell>
        </row>
        <row r="74">
          <cell r="A74">
            <v>68</v>
          </cell>
          <cell r="B74" t="str">
            <v>event information</v>
          </cell>
        </row>
        <row r="75">
          <cell r="A75">
            <v>71</v>
          </cell>
          <cell r="B75" t="str">
            <v>actuator stuck</v>
          </cell>
        </row>
        <row r="76">
          <cell r="A76">
            <v>72</v>
          </cell>
          <cell r="B76" t="str">
            <v>actuator stuck open</v>
          </cell>
        </row>
        <row r="77">
          <cell r="A77">
            <v>73</v>
          </cell>
          <cell r="B77" t="str">
            <v>actuator stuck closed</v>
          </cell>
        </row>
        <row r="78">
          <cell r="A78">
            <v>74</v>
          </cell>
          <cell r="B78" t="str">
            <v>actuator slipping</v>
          </cell>
        </row>
        <row r="79">
          <cell r="A79">
            <v>75</v>
          </cell>
          <cell r="B79" t="str">
            <v>emergency position not reachable</v>
          </cell>
        </row>
        <row r="80">
          <cell r="A80">
            <v>76</v>
          </cell>
          <cell r="B80" t="str">
            <v>wrong mounting position</v>
          </cell>
        </row>
        <row r="81">
          <cell r="A81">
            <v>77</v>
          </cell>
          <cell r="B81" t="str">
            <v>commanded position not reachable</v>
          </cell>
        </row>
        <row r="82">
          <cell r="A82">
            <v>78</v>
          </cell>
          <cell r="B82" t="str">
            <v>alignment or adjustment incorrect</v>
          </cell>
        </row>
        <row r="83">
          <cell r="A83">
            <v>79</v>
          </cell>
          <cell r="B83" t="str">
            <v xml:space="preserve">mechanical linkage failure </v>
          </cell>
        </row>
        <row r="84">
          <cell r="A84" t="str">
            <v>7A</v>
          </cell>
          <cell r="B84" t="str">
            <v>fluid leak or seal failure</v>
          </cell>
        </row>
        <row r="85">
          <cell r="A85" t="str">
            <v>7B</v>
          </cell>
          <cell r="B85" t="str">
            <v>low fluid level</v>
          </cell>
        </row>
        <row r="86">
          <cell r="A86">
            <v>81</v>
          </cell>
          <cell r="B86" t="str">
            <v>invalid serial data received</v>
          </cell>
        </row>
        <row r="87">
          <cell r="A87">
            <v>82</v>
          </cell>
          <cell r="B87" t="str">
            <v>alive / sequence counter incorrect / not updated</v>
          </cell>
        </row>
        <row r="88">
          <cell r="A88">
            <v>83</v>
          </cell>
          <cell r="B88" t="str">
            <v>value of signal protection calculation incorrect</v>
          </cell>
        </row>
        <row r="89">
          <cell r="A89">
            <v>84</v>
          </cell>
          <cell r="B89" t="str">
            <v>signal below allowable range</v>
          </cell>
        </row>
        <row r="90">
          <cell r="A90">
            <v>85</v>
          </cell>
          <cell r="B90" t="str">
            <v>signal above allowable range</v>
          </cell>
        </row>
        <row r="91">
          <cell r="A91">
            <v>86</v>
          </cell>
          <cell r="B91" t="str">
            <v>signal invalid</v>
          </cell>
        </row>
        <row r="92">
          <cell r="A92">
            <v>87</v>
          </cell>
          <cell r="B92" t="str">
            <v>missing message</v>
          </cell>
        </row>
        <row r="93">
          <cell r="A93">
            <v>88</v>
          </cell>
          <cell r="B93" t="str">
            <v>bus off</v>
          </cell>
        </row>
        <row r="94">
          <cell r="A94" t="str">
            <v>8F</v>
          </cell>
          <cell r="B94" t="str">
            <v>erratic</v>
          </cell>
        </row>
        <row r="95">
          <cell r="A95">
            <v>91</v>
          </cell>
          <cell r="B95" t="str">
            <v>parametric</v>
          </cell>
        </row>
        <row r="96">
          <cell r="A96">
            <v>92</v>
          </cell>
          <cell r="B96" t="str">
            <v>performance or incorrect operation</v>
          </cell>
        </row>
        <row r="97">
          <cell r="A97">
            <v>93</v>
          </cell>
          <cell r="B97" t="str">
            <v>no operation</v>
          </cell>
        </row>
        <row r="98">
          <cell r="A98">
            <v>94</v>
          </cell>
          <cell r="B98" t="str">
            <v>unexpected operation</v>
          </cell>
        </row>
        <row r="99">
          <cell r="A99">
            <v>95</v>
          </cell>
          <cell r="B99" t="str">
            <v>incorrect assembly</v>
          </cell>
        </row>
        <row r="100">
          <cell r="A100">
            <v>96</v>
          </cell>
          <cell r="B100" t="str">
            <v>component internal failure</v>
          </cell>
        </row>
        <row r="101">
          <cell r="A101">
            <v>97</v>
          </cell>
          <cell r="B101" t="str">
            <v>Component or system operation obstructed or blocked</v>
          </cell>
        </row>
        <row r="102">
          <cell r="A102">
            <v>98</v>
          </cell>
          <cell r="B102" t="str">
            <v>component or system over temperature</v>
          </cell>
        </row>
        <row r="103">
          <cell r="A103" t="str">
            <v>9A</v>
          </cell>
          <cell r="B103" t="str">
            <v>component or system operating conditions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</sheetNames>
    <sheetDataSet>
      <sheetData sheetId="0">
        <row r="2">
          <cell r="A2" t="b">
            <v>0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  <sheetName val="Selection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  <sheetName val="Ref_Ranges"/>
      <sheetName val="Header"/>
      <sheetName val="DataBlock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555A-16F6-45B4-BB5F-CF1C9E525997}">
  <sheetPr>
    <tabColor rgb="FFFFC000"/>
  </sheetPr>
  <dimension ref="A1:O48"/>
  <sheetViews>
    <sheetView tabSelected="1" topLeftCell="A13" zoomScale="80" zoomScaleNormal="80" workbookViewId="0">
      <selection activeCell="H16" sqref="H16"/>
    </sheetView>
  </sheetViews>
  <sheetFormatPr defaultColWidth="8.88671875" defaultRowHeight="13.8"/>
  <cols>
    <col min="1" max="1" width="10" style="1" customWidth="1"/>
    <col min="2" max="2" width="34.44140625" style="1" customWidth="1"/>
    <col min="3" max="3" width="22.6640625" style="1" customWidth="1"/>
    <col min="4" max="4" width="25.5546875" style="1" customWidth="1"/>
    <col min="5" max="5" width="21.5546875" style="1" customWidth="1"/>
    <col min="6" max="6" width="30" style="1" customWidth="1"/>
    <col min="7" max="7" width="29.88671875" style="1" customWidth="1"/>
    <col min="8" max="8" width="47.88671875" style="1" customWidth="1"/>
    <col min="9" max="9" width="37" style="1" customWidth="1"/>
    <col min="10" max="10" width="12.6640625" style="1" customWidth="1"/>
    <col min="11" max="11" width="11.44140625" style="1" customWidth="1"/>
    <col min="12" max="12" width="14.109375" style="1" bestFit="1" customWidth="1"/>
    <col min="13" max="13" width="24" style="1" customWidth="1"/>
    <col min="14" max="15" width="10" style="1" customWidth="1"/>
    <col min="16" max="16384" width="8.88671875" style="2"/>
  </cols>
  <sheetData>
    <row r="1" spans="1:14" s="5" customFormat="1" ht="41.4">
      <c r="A1" s="3" t="s">
        <v>0</v>
      </c>
      <c r="B1" s="3" t="s">
        <v>1</v>
      </c>
      <c r="C1" s="3" t="s">
        <v>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3</v>
      </c>
      <c r="I1" s="4" t="s">
        <v>87</v>
      </c>
      <c r="J1" s="4" t="s">
        <v>4</v>
      </c>
      <c r="K1" s="4" t="s">
        <v>5</v>
      </c>
      <c r="L1" s="4" t="s">
        <v>6</v>
      </c>
      <c r="M1" s="4" t="s">
        <v>7</v>
      </c>
    </row>
    <row r="2" spans="1:14" s="13" customFormat="1">
      <c r="A2" s="6" t="s">
        <v>8</v>
      </c>
      <c r="B2" s="7" t="s">
        <v>9</v>
      </c>
      <c r="C2" s="7" t="s">
        <v>10</v>
      </c>
      <c r="D2" s="8" t="s">
        <v>11</v>
      </c>
      <c r="E2" s="9">
        <v>3</v>
      </c>
      <c r="F2" s="9">
        <v>0</v>
      </c>
      <c r="G2" s="9">
        <v>16</v>
      </c>
      <c r="H2" s="9" t="s">
        <v>12</v>
      </c>
      <c r="I2" s="10"/>
      <c r="J2" s="11"/>
      <c r="K2" s="11"/>
      <c r="L2" s="7"/>
      <c r="M2" s="12"/>
    </row>
    <row r="3" spans="1:14" s="13" customFormat="1" ht="26.4">
      <c r="A3" s="6"/>
      <c r="B3" s="7"/>
      <c r="C3" s="7"/>
      <c r="D3" s="8" t="s">
        <v>13</v>
      </c>
      <c r="E3" s="9">
        <f t="shared" ref="E3" si="0">E2+QUOTIENT((G2+F2),8)</f>
        <v>5</v>
      </c>
      <c r="F3" s="9">
        <f t="shared" ref="F3" si="1">MOD(F2+G2,8)</f>
        <v>0</v>
      </c>
      <c r="G3" s="9">
        <v>56</v>
      </c>
      <c r="H3" s="9" t="s">
        <v>14</v>
      </c>
      <c r="I3" s="10"/>
      <c r="J3" s="8"/>
      <c r="K3" s="8"/>
      <c r="L3" s="7"/>
      <c r="M3" s="12" t="s">
        <v>15</v>
      </c>
    </row>
    <row r="4" spans="1:14" s="19" customFormat="1" ht="198">
      <c r="A4" s="6"/>
      <c r="B4" s="7"/>
      <c r="C4" s="14" t="s">
        <v>10</v>
      </c>
      <c r="D4" s="15" t="s">
        <v>16</v>
      </c>
      <c r="E4" s="16">
        <v>12</v>
      </c>
      <c r="F4" s="16">
        <v>0</v>
      </c>
      <c r="G4" s="16">
        <v>8</v>
      </c>
      <c r="H4" s="16" t="s">
        <v>17</v>
      </c>
      <c r="I4" s="15" t="s">
        <v>88</v>
      </c>
      <c r="J4" s="17"/>
      <c r="K4" s="17"/>
      <c r="L4" s="15" t="s">
        <v>18</v>
      </c>
      <c r="M4" s="18" t="s">
        <v>19</v>
      </c>
      <c r="N4" s="18" t="s">
        <v>20</v>
      </c>
    </row>
    <row r="5" spans="1:14" s="19" customFormat="1" ht="409.6">
      <c r="A5" s="6"/>
      <c r="B5" s="7"/>
      <c r="C5" s="14" t="s">
        <v>10</v>
      </c>
      <c r="D5" s="20" t="s">
        <v>21</v>
      </c>
      <c r="E5" s="20">
        <v>13</v>
      </c>
      <c r="F5" s="20">
        <v>0</v>
      </c>
      <c r="G5" s="20">
        <v>8</v>
      </c>
      <c r="H5" s="20" t="s">
        <v>17</v>
      </c>
      <c r="I5" s="21" t="s">
        <v>121</v>
      </c>
      <c r="J5" s="8"/>
      <c r="K5" s="8"/>
      <c r="L5" s="22" t="s">
        <v>22</v>
      </c>
      <c r="M5" s="23" t="s">
        <v>19</v>
      </c>
      <c r="N5" s="23"/>
    </row>
    <row r="6" spans="1:14" s="19" customFormat="1" ht="27.6">
      <c r="A6" s="6"/>
      <c r="B6" s="7"/>
      <c r="C6" s="24" t="s">
        <v>10</v>
      </c>
      <c r="D6" s="25" t="s">
        <v>23</v>
      </c>
      <c r="E6" s="16">
        <v>14</v>
      </c>
      <c r="F6" s="16">
        <v>0</v>
      </c>
      <c r="G6" s="25">
        <v>8</v>
      </c>
      <c r="H6" s="16" t="s">
        <v>17</v>
      </c>
      <c r="I6" s="26"/>
      <c r="J6" s="17"/>
      <c r="K6" s="17"/>
      <c r="L6" s="25" t="s">
        <v>24</v>
      </c>
      <c r="M6" s="27" t="s">
        <v>25</v>
      </c>
      <c r="N6" s="18" t="s">
        <v>20</v>
      </c>
    </row>
    <row r="7" spans="1:14" s="19" customFormat="1" ht="96.6">
      <c r="A7" s="6"/>
      <c r="B7" s="7"/>
      <c r="C7" s="24" t="s">
        <v>10</v>
      </c>
      <c r="D7" s="24" t="s">
        <v>26</v>
      </c>
      <c r="E7" s="20">
        <v>15</v>
      </c>
      <c r="F7" s="20">
        <v>0</v>
      </c>
      <c r="G7" s="24">
        <v>4</v>
      </c>
      <c r="H7" s="28" t="s">
        <v>12</v>
      </c>
      <c r="I7" s="28" t="s">
        <v>89</v>
      </c>
      <c r="J7" s="8"/>
      <c r="K7" s="8"/>
      <c r="L7" s="24" t="s">
        <v>27</v>
      </c>
      <c r="M7" s="29"/>
      <c r="N7" s="29"/>
    </row>
    <row r="8" spans="1:14" s="19" customFormat="1" ht="66">
      <c r="A8" s="6"/>
      <c r="B8" s="7"/>
      <c r="C8" s="14" t="s">
        <v>10</v>
      </c>
      <c r="D8" s="16" t="s">
        <v>28</v>
      </c>
      <c r="E8" s="16">
        <v>15</v>
      </c>
      <c r="F8" s="16">
        <v>4</v>
      </c>
      <c r="G8" s="16">
        <v>2</v>
      </c>
      <c r="H8" s="16" t="s">
        <v>12</v>
      </c>
      <c r="I8" s="18" t="s">
        <v>90</v>
      </c>
      <c r="J8" s="17"/>
      <c r="K8" s="17"/>
      <c r="L8" s="18" t="s">
        <v>29</v>
      </c>
      <c r="M8" s="18" t="s">
        <v>19</v>
      </c>
      <c r="N8" s="18" t="s">
        <v>20</v>
      </c>
    </row>
    <row r="9" spans="1:14" s="19" customFormat="1" ht="66">
      <c r="A9" s="6"/>
      <c r="B9" s="7"/>
      <c r="C9" s="24" t="s">
        <v>10</v>
      </c>
      <c r="D9" s="25" t="s">
        <v>30</v>
      </c>
      <c r="E9" s="25">
        <v>15</v>
      </c>
      <c r="F9" s="25">
        <v>6</v>
      </c>
      <c r="G9" s="25">
        <v>2</v>
      </c>
      <c r="H9" s="16" t="s">
        <v>12</v>
      </c>
      <c r="I9" s="18" t="s">
        <v>91</v>
      </c>
      <c r="J9" s="17"/>
      <c r="K9" s="17"/>
      <c r="L9" s="25" t="s">
        <v>27</v>
      </c>
      <c r="M9" s="27" t="s">
        <v>19</v>
      </c>
      <c r="N9" s="18" t="s">
        <v>20</v>
      </c>
    </row>
    <row r="10" spans="1:14" s="19" customFormat="1" ht="66">
      <c r="A10" s="6"/>
      <c r="B10" s="7"/>
      <c r="C10" s="24" t="s">
        <v>10</v>
      </c>
      <c r="D10" s="25" t="s">
        <v>31</v>
      </c>
      <c r="E10" s="25">
        <v>16</v>
      </c>
      <c r="F10" s="25">
        <v>0</v>
      </c>
      <c r="G10" s="25">
        <v>2</v>
      </c>
      <c r="H10" s="16" t="s">
        <v>12</v>
      </c>
      <c r="I10" s="18" t="s">
        <v>92</v>
      </c>
      <c r="J10" s="17"/>
      <c r="K10" s="17"/>
      <c r="L10" s="25" t="s">
        <v>27</v>
      </c>
      <c r="M10" s="27" t="s">
        <v>19</v>
      </c>
      <c r="N10" s="18" t="s">
        <v>20</v>
      </c>
    </row>
    <row r="11" spans="1:14" s="19" customFormat="1" ht="66">
      <c r="A11" s="6"/>
      <c r="B11" s="7"/>
      <c r="C11" s="24" t="s">
        <v>10</v>
      </c>
      <c r="D11" s="25" t="s">
        <v>32</v>
      </c>
      <c r="E11" s="25">
        <v>16</v>
      </c>
      <c r="F11" s="25">
        <v>2</v>
      </c>
      <c r="G11" s="25">
        <v>2</v>
      </c>
      <c r="H11" s="16" t="s">
        <v>12</v>
      </c>
      <c r="I11" s="18" t="s">
        <v>93</v>
      </c>
      <c r="J11" s="17"/>
      <c r="K11" s="17"/>
      <c r="L11" s="25" t="s">
        <v>27</v>
      </c>
      <c r="M11" s="27" t="s">
        <v>19</v>
      </c>
      <c r="N11" s="18" t="s">
        <v>20</v>
      </c>
    </row>
    <row r="12" spans="1:14" s="19" customFormat="1" ht="69">
      <c r="A12" s="6"/>
      <c r="B12" s="7"/>
      <c r="C12" s="24" t="s">
        <v>10</v>
      </c>
      <c r="D12" s="25" t="s">
        <v>33</v>
      </c>
      <c r="E12" s="25">
        <v>16</v>
      </c>
      <c r="F12" s="25">
        <v>4</v>
      </c>
      <c r="G12" s="25">
        <v>2</v>
      </c>
      <c r="H12" s="16" t="s">
        <v>12</v>
      </c>
      <c r="I12" s="25" t="s">
        <v>94</v>
      </c>
      <c r="J12" s="16"/>
      <c r="K12" s="18"/>
      <c r="L12" s="16" t="s">
        <v>27</v>
      </c>
      <c r="M12" s="27" t="s">
        <v>19</v>
      </c>
      <c r="N12" s="18" t="s">
        <v>20</v>
      </c>
    </row>
    <row r="13" spans="1:14" s="1" customFormat="1" ht="66">
      <c r="A13" s="6"/>
      <c r="B13" s="7"/>
      <c r="C13" s="24" t="s">
        <v>10</v>
      </c>
      <c r="D13" s="25" t="s">
        <v>34</v>
      </c>
      <c r="E13" s="25">
        <v>16</v>
      </c>
      <c r="F13" s="25">
        <v>6</v>
      </c>
      <c r="G13" s="25">
        <v>2</v>
      </c>
      <c r="H13" s="16" t="s">
        <v>12</v>
      </c>
      <c r="I13" s="18" t="s">
        <v>95</v>
      </c>
      <c r="J13" s="16"/>
      <c r="K13" s="18"/>
      <c r="L13" s="16" t="s">
        <v>27</v>
      </c>
      <c r="M13" s="27" t="s">
        <v>19</v>
      </c>
      <c r="N13" s="18" t="s">
        <v>20</v>
      </c>
    </row>
    <row r="14" spans="1:14" s="1" customFormat="1" ht="39.6">
      <c r="A14" s="6"/>
      <c r="B14" s="7"/>
      <c r="C14" s="14" t="s">
        <v>10</v>
      </c>
      <c r="D14" s="16" t="s">
        <v>35</v>
      </c>
      <c r="E14" s="25">
        <v>17</v>
      </c>
      <c r="F14" s="25">
        <v>0</v>
      </c>
      <c r="G14" s="16">
        <v>8</v>
      </c>
      <c r="H14" s="16" t="s">
        <v>17</v>
      </c>
      <c r="I14" s="18"/>
      <c r="J14" s="16"/>
      <c r="K14" s="18"/>
      <c r="L14" s="16">
        <v>95</v>
      </c>
      <c r="M14" s="18" t="s">
        <v>36</v>
      </c>
      <c r="N14" s="18" t="s">
        <v>20</v>
      </c>
    </row>
    <row r="15" spans="1:14" s="1" customFormat="1" ht="92.4">
      <c r="A15" s="6"/>
      <c r="B15" s="7"/>
      <c r="C15" s="14" t="s">
        <v>10</v>
      </c>
      <c r="D15" s="16" t="s">
        <v>37</v>
      </c>
      <c r="E15" s="25">
        <v>18</v>
      </c>
      <c r="F15" s="25">
        <v>0</v>
      </c>
      <c r="G15" s="16">
        <v>4</v>
      </c>
      <c r="H15" s="16" t="s">
        <v>12</v>
      </c>
      <c r="I15" s="15" t="s">
        <v>96</v>
      </c>
      <c r="J15" s="16"/>
      <c r="K15" s="18"/>
      <c r="L15" s="16" t="s">
        <v>38</v>
      </c>
      <c r="M15" s="18" t="s">
        <v>19</v>
      </c>
      <c r="N15" s="18"/>
    </row>
    <row r="16" spans="1:14" s="1" customFormat="1" ht="409.6">
      <c r="A16" s="6"/>
      <c r="B16" s="7"/>
      <c r="C16" s="14" t="s">
        <v>10</v>
      </c>
      <c r="D16" s="16" t="s">
        <v>39</v>
      </c>
      <c r="E16" s="16">
        <v>18</v>
      </c>
      <c r="F16" s="16">
        <v>4</v>
      </c>
      <c r="G16" s="16">
        <v>8</v>
      </c>
      <c r="H16" s="16" t="s">
        <v>17</v>
      </c>
      <c r="I16" s="15" t="s">
        <v>122</v>
      </c>
      <c r="J16" s="16"/>
      <c r="K16" s="18"/>
      <c r="L16" s="30" t="s">
        <v>40</v>
      </c>
      <c r="M16" s="31"/>
      <c r="N16" s="31"/>
    </row>
    <row r="17" spans="1:14" s="1" customFormat="1" ht="27.6">
      <c r="A17" s="6"/>
      <c r="B17" s="7"/>
      <c r="C17" s="14" t="s">
        <v>10</v>
      </c>
      <c r="D17" s="32" t="s">
        <v>41</v>
      </c>
      <c r="E17" s="16">
        <v>19</v>
      </c>
      <c r="F17" s="16">
        <v>4</v>
      </c>
      <c r="G17" s="16">
        <v>4</v>
      </c>
      <c r="H17" s="16" t="s">
        <v>12</v>
      </c>
      <c r="I17" s="16"/>
      <c r="J17" s="16"/>
      <c r="K17" s="18"/>
      <c r="L17" s="16" t="s">
        <v>42</v>
      </c>
      <c r="M17" s="27" t="s">
        <v>43</v>
      </c>
      <c r="N17" s="27"/>
    </row>
    <row r="18" spans="1:14" s="1" customFormat="1" ht="69">
      <c r="A18" s="6"/>
      <c r="B18" s="7"/>
      <c r="C18" s="24" t="s">
        <v>10</v>
      </c>
      <c r="D18" s="25" t="s">
        <v>44</v>
      </c>
      <c r="E18" s="16">
        <v>20</v>
      </c>
      <c r="F18" s="25">
        <v>0</v>
      </c>
      <c r="G18" s="25">
        <v>2</v>
      </c>
      <c r="H18" s="16" t="s">
        <v>12</v>
      </c>
      <c r="I18" s="26" t="s">
        <v>97</v>
      </c>
      <c r="J18" s="16"/>
      <c r="K18" s="18"/>
      <c r="L18" s="16" t="s">
        <v>27</v>
      </c>
      <c r="M18" s="27" t="s">
        <v>19</v>
      </c>
      <c r="N18" s="18" t="s">
        <v>20</v>
      </c>
    </row>
    <row r="19" spans="1:14" s="1" customFormat="1" ht="55.2">
      <c r="A19" s="6"/>
      <c r="B19" s="7"/>
      <c r="C19" s="24" t="s">
        <v>10</v>
      </c>
      <c r="D19" s="25" t="s">
        <v>45</v>
      </c>
      <c r="E19" s="16">
        <v>20</v>
      </c>
      <c r="F19" s="25">
        <v>2</v>
      </c>
      <c r="G19" s="25">
        <v>2</v>
      </c>
      <c r="H19" s="16" t="s">
        <v>12</v>
      </c>
      <c r="I19" s="25" t="s">
        <v>98</v>
      </c>
      <c r="J19" s="16"/>
      <c r="K19" s="18"/>
      <c r="L19" s="16" t="s">
        <v>27</v>
      </c>
      <c r="M19" s="27" t="s">
        <v>19</v>
      </c>
      <c r="N19" s="18" t="s">
        <v>20</v>
      </c>
    </row>
    <row r="20" spans="1:14" s="1" customFormat="1" ht="69">
      <c r="A20" s="6"/>
      <c r="B20" s="7"/>
      <c r="C20" s="24" t="s">
        <v>10</v>
      </c>
      <c r="D20" s="25" t="s">
        <v>46</v>
      </c>
      <c r="E20" s="16">
        <v>20</v>
      </c>
      <c r="F20" s="25">
        <v>4</v>
      </c>
      <c r="G20" s="25">
        <v>2</v>
      </c>
      <c r="H20" s="16" t="s">
        <v>12</v>
      </c>
      <c r="I20" s="25" t="s">
        <v>99</v>
      </c>
      <c r="J20" s="16"/>
      <c r="K20" s="18"/>
      <c r="L20" s="16" t="s">
        <v>27</v>
      </c>
      <c r="M20" s="27" t="s">
        <v>19</v>
      </c>
      <c r="N20" s="27"/>
    </row>
    <row r="21" spans="1:14" s="1" customFormat="1" ht="69">
      <c r="A21" s="6"/>
      <c r="B21" s="7"/>
      <c r="C21" s="24" t="s">
        <v>10</v>
      </c>
      <c r="D21" s="25" t="s">
        <v>47</v>
      </c>
      <c r="E21" s="16">
        <v>20</v>
      </c>
      <c r="F21" s="25">
        <v>6</v>
      </c>
      <c r="G21" s="25">
        <v>2</v>
      </c>
      <c r="H21" s="16" t="s">
        <v>12</v>
      </c>
      <c r="I21" s="25" t="s">
        <v>100</v>
      </c>
      <c r="J21" s="16"/>
      <c r="K21" s="18"/>
      <c r="L21" s="16" t="s">
        <v>27</v>
      </c>
      <c r="M21" s="27" t="s">
        <v>19</v>
      </c>
      <c r="N21" s="18" t="s">
        <v>20</v>
      </c>
    </row>
    <row r="22" spans="1:14" s="1" customFormat="1" ht="69">
      <c r="A22" s="6"/>
      <c r="B22" s="7"/>
      <c r="C22" s="24" t="s">
        <v>10</v>
      </c>
      <c r="D22" s="25" t="s">
        <v>48</v>
      </c>
      <c r="E22" s="16">
        <v>21</v>
      </c>
      <c r="F22" s="25">
        <v>0</v>
      </c>
      <c r="G22" s="25">
        <v>2</v>
      </c>
      <c r="H22" s="16" t="s">
        <v>12</v>
      </c>
      <c r="I22" s="25" t="s">
        <v>101</v>
      </c>
      <c r="J22" s="16"/>
      <c r="K22" s="18"/>
      <c r="L22" s="16" t="s">
        <v>29</v>
      </c>
      <c r="M22" s="27" t="s">
        <v>19</v>
      </c>
      <c r="N22" s="18" t="s">
        <v>20</v>
      </c>
    </row>
    <row r="23" spans="1:14" s="1" customFormat="1" ht="69">
      <c r="A23" s="6"/>
      <c r="B23" s="7"/>
      <c r="C23" s="24" t="s">
        <v>10</v>
      </c>
      <c r="D23" s="25" t="s">
        <v>49</v>
      </c>
      <c r="E23" s="16">
        <v>21</v>
      </c>
      <c r="F23" s="25">
        <v>2</v>
      </c>
      <c r="G23" s="25">
        <v>2</v>
      </c>
      <c r="H23" s="16" t="s">
        <v>12</v>
      </c>
      <c r="I23" s="25" t="s">
        <v>102</v>
      </c>
      <c r="J23" s="16"/>
      <c r="K23" s="18"/>
      <c r="L23" s="16" t="s">
        <v>27</v>
      </c>
      <c r="M23" s="27" t="s">
        <v>50</v>
      </c>
      <c r="N23" s="18" t="s">
        <v>20</v>
      </c>
    </row>
    <row r="24" spans="1:14" s="1" customFormat="1" ht="110.4">
      <c r="A24" s="6"/>
      <c r="B24" s="7"/>
      <c r="C24" s="24" t="s">
        <v>10</v>
      </c>
      <c r="D24" s="25" t="s">
        <v>51</v>
      </c>
      <c r="E24" s="16">
        <v>21</v>
      </c>
      <c r="F24" s="25">
        <v>4</v>
      </c>
      <c r="G24" s="25">
        <v>4</v>
      </c>
      <c r="H24" s="16" t="s">
        <v>12</v>
      </c>
      <c r="I24" s="25" t="s">
        <v>103</v>
      </c>
      <c r="J24" s="16"/>
      <c r="K24" s="18"/>
      <c r="L24" s="16" t="s">
        <v>52</v>
      </c>
      <c r="M24" s="27" t="s">
        <v>19</v>
      </c>
      <c r="N24" s="18" t="s">
        <v>20</v>
      </c>
    </row>
    <row r="25" spans="1:14" s="1" customFormat="1" ht="92.4">
      <c r="A25" s="6"/>
      <c r="B25" s="7"/>
      <c r="C25" s="14" t="s">
        <v>10</v>
      </c>
      <c r="D25" s="20" t="s">
        <v>53</v>
      </c>
      <c r="E25" s="20">
        <v>22</v>
      </c>
      <c r="F25" s="24">
        <v>0</v>
      </c>
      <c r="G25" s="20">
        <v>2</v>
      </c>
      <c r="H25" s="20" t="s">
        <v>12</v>
      </c>
      <c r="I25" s="23" t="s">
        <v>104</v>
      </c>
      <c r="J25" s="20"/>
      <c r="K25" s="23"/>
      <c r="L25" s="20" t="s">
        <v>29</v>
      </c>
      <c r="M25" s="23" t="s">
        <v>19</v>
      </c>
      <c r="N25" s="23" t="s">
        <v>20</v>
      </c>
    </row>
    <row r="26" spans="1:14" s="1" customFormat="1" ht="66">
      <c r="A26" s="6"/>
      <c r="B26" s="7"/>
      <c r="C26" s="14" t="s">
        <v>10</v>
      </c>
      <c r="D26" s="16" t="s">
        <v>54</v>
      </c>
      <c r="E26" s="16">
        <v>22</v>
      </c>
      <c r="F26" s="16">
        <v>2</v>
      </c>
      <c r="G26" s="16">
        <v>2</v>
      </c>
      <c r="H26" s="16" t="s">
        <v>12</v>
      </c>
      <c r="I26" s="18" t="s">
        <v>105</v>
      </c>
      <c r="J26" s="16"/>
      <c r="K26" s="18"/>
      <c r="L26" s="16" t="s">
        <v>27</v>
      </c>
      <c r="M26" s="18" t="s">
        <v>19</v>
      </c>
      <c r="N26" s="18" t="s">
        <v>20</v>
      </c>
    </row>
    <row r="27" spans="1:14" s="1" customFormat="1" ht="96.6">
      <c r="A27" s="6"/>
      <c r="B27" s="7"/>
      <c r="C27" s="24" t="s">
        <v>10</v>
      </c>
      <c r="D27" s="25" t="s">
        <v>55</v>
      </c>
      <c r="E27" s="25">
        <v>22</v>
      </c>
      <c r="F27" s="25">
        <v>4</v>
      </c>
      <c r="G27" s="25">
        <v>2</v>
      </c>
      <c r="H27" s="25" t="s">
        <v>12</v>
      </c>
      <c r="I27" s="25" t="s">
        <v>106</v>
      </c>
      <c r="J27" s="16"/>
      <c r="K27" s="18"/>
      <c r="L27" s="16" t="s">
        <v>29</v>
      </c>
      <c r="M27" s="27" t="s">
        <v>19</v>
      </c>
      <c r="N27" s="18" t="s">
        <v>20</v>
      </c>
    </row>
    <row r="28" spans="1:14" s="1" customFormat="1" ht="26.4">
      <c r="A28" s="6"/>
      <c r="B28" s="7"/>
      <c r="C28" s="24" t="s">
        <v>10</v>
      </c>
      <c r="D28" s="25" t="s">
        <v>41</v>
      </c>
      <c r="E28" s="25">
        <v>22</v>
      </c>
      <c r="F28" s="25">
        <v>6</v>
      </c>
      <c r="G28" s="25">
        <v>2</v>
      </c>
      <c r="H28" s="16" t="s">
        <v>17</v>
      </c>
      <c r="I28" s="16"/>
      <c r="J28" s="16"/>
      <c r="K28" s="18"/>
      <c r="L28" s="16" t="s">
        <v>42</v>
      </c>
      <c r="M28" s="18" t="s">
        <v>19</v>
      </c>
      <c r="N28" s="18" t="s">
        <v>20</v>
      </c>
    </row>
    <row r="29" spans="1:14" s="1" customFormat="1" ht="132">
      <c r="A29" s="6"/>
      <c r="B29" s="7"/>
      <c r="C29" s="14" t="s">
        <v>10</v>
      </c>
      <c r="D29" s="16" t="s">
        <v>56</v>
      </c>
      <c r="E29" s="16">
        <v>23</v>
      </c>
      <c r="F29" s="16">
        <v>0</v>
      </c>
      <c r="G29" s="16">
        <v>8</v>
      </c>
      <c r="H29" s="16" t="s">
        <v>17</v>
      </c>
      <c r="I29" s="15" t="s">
        <v>107</v>
      </c>
      <c r="J29" s="16"/>
      <c r="K29" s="18"/>
      <c r="L29" s="16" t="s">
        <v>57</v>
      </c>
      <c r="M29" s="18" t="s">
        <v>19</v>
      </c>
      <c r="N29" s="18" t="s">
        <v>20</v>
      </c>
    </row>
    <row r="30" spans="1:14" s="1" customFormat="1" ht="132">
      <c r="A30" s="6"/>
      <c r="B30" s="7"/>
      <c r="C30" s="14" t="s">
        <v>10</v>
      </c>
      <c r="D30" s="16" t="s">
        <v>58</v>
      </c>
      <c r="E30" s="16">
        <v>24</v>
      </c>
      <c r="F30" s="16">
        <v>0</v>
      </c>
      <c r="G30" s="16">
        <v>8</v>
      </c>
      <c r="H30" s="16" t="s">
        <v>17</v>
      </c>
      <c r="I30" s="15" t="s">
        <v>108</v>
      </c>
      <c r="J30" s="16"/>
      <c r="K30" s="18"/>
      <c r="L30" s="16" t="s">
        <v>59</v>
      </c>
      <c r="M30" s="18" t="s">
        <v>19</v>
      </c>
      <c r="N30" s="18"/>
    </row>
    <row r="31" spans="1:14" s="1" customFormat="1" ht="66">
      <c r="A31" s="6"/>
      <c r="B31" s="7"/>
      <c r="C31" s="14" t="s">
        <v>10</v>
      </c>
      <c r="D31" s="20" t="s">
        <v>60</v>
      </c>
      <c r="E31" s="20">
        <v>25</v>
      </c>
      <c r="F31" s="20">
        <v>0</v>
      </c>
      <c r="G31" s="20">
        <v>2</v>
      </c>
      <c r="H31" s="20" t="s">
        <v>12</v>
      </c>
      <c r="I31" s="23" t="s">
        <v>109</v>
      </c>
      <c r="J31" s="20"/>
      <c r="K31" s="23"/>
      <c r="L31" s="20" t="s">
        <v>61</v>
      </c>
      <c r="M31" s="23" t="s">
        <v>19</v>
      </c>
      <c r="N31" s="23" t="s">
        <v>20</v>
      </c>
    </row>
    <row r="32" spans="1:14" s="1" customFormat="1" ht="66">
      <c r="A32" s="6"/>
      <c r="B32" s="7"/>
      <c r="C32" s="14" t="s">
        <v>10</v>
      </c>
      <c r="D32" s="20" t="s">
        <v>62</v>
      </c>
      <c r="E32" s="20">
        <v>25</v>
      </c>
      <c r="F32" s="20">
        <v>2</v>
      </c>
      <c r="G32" s="20">
        <v>2</v>
      </c>
      <c r="H32" s="20" t="s">
        <v>12</v>
      </c>
      <c r="I32" s="23" t="s">
        <v>110</v>
      </c>
      <c r="J32" s="20"/>
      <c r="K32" s="23"/>
      <c r="L32" s="20" t="s">
        <v>63</v>
      </c>
      <c r="M32" s="23" t="s">
        <v>19</v>
      </c>
      <c r="N32" s="23" t="s">
        <v>20</v>
      </c>
    </row>
    <row r="33" spans="1:14" s="1" customFormat="1" ht="66">
      <c r="A33" s="6"/>
      <c r="B33" s="7"/>
      <c r="C33" s="14" t="s">
        <v>10</v>
      </c>
      <c r="D33" s="16" t="s">
        <v>64</v>
      </c>
      <c r="E33" s="16">
        <v>25</v>
      </c>
      <c r="F33" s="16">
        <v>4</v>
      </c>
      <c r="G33" s="16">
        <v>2</v>
      </c>
      <c r="H33" s="16" t="s">
        <v>12</v>
      </c>
      <c r="I33" s="18" t="s">
        <v>111</v>
      </c>
      <c r="J33" s="16"/>
      <c r="K33" s="18"/>
      <c r="L33" s="16" t="s">
        <v>29</v>
      </c>
      <c r="M33" s="18" t="s">
        <v>19</v>
      </c>
      <c r="N33" s="18"/>
    </row>
    <row r="34" spans="1:14" s="1" customFormat="1" ht="92.4">
      <c r="A34" s="6"/>
      <c r="B34" s="7"/>
      <c r="C34" s="14" t="s">
        <v>10</v>
      </c>
      <c r="D34" s="25" t="s">
        <v>65</v>
      </c>
      <c r="E34" s="16">
        <v>25</v>
      </c>
      <c r="F34" s="16">
        <v>6</v>
      </c>
      <c r="G34" s="16">
        <v>2</v>
      </c>
      <c r="H34" s="16" t="s">
        <v>12</v>
      </c>
      <c r="I34" s="15" t="s">
        <v>112</v>
      </c>
      <c r="J34" s="16"/>
      <c r="K34" s="18"/>
      <c r="L34" s="16" t="s">
        <v>27</v>
      </c>
      <c r="M34" s="18" t="s">
        <v>19</v>
      </c>
      <c r="N34" s="27" t="s">
        <v>20</v>
      </c>
    </row>
    <row r="35" spans="1:14" s="1" customFormat="1" ht="66">
      <c r="A35" s="6"/>
      <c r="B35" s="7"/>
      <c r="C35" s="33" t="s">
        <v>10</v>
      </c>
      <c r="D35" s="34" t="s">
        <v>66</v>
      </c>
      <c r="E35" s="16">
        <v>26</v>
      </c>
      <c r="F35" s="34">
        <v>0</v>
      </c>
      <c r="G35" s="34">
        <v>2</v>
      </c>
      <c r="H35" s="16" t="s">
        <v>12</v>
      </c>
      <c r="I35" s="18" t="s">
        <v>113</v>
      </c>
      <c r="J35" s="16"/>
      <c r="K35" s="18"/>
      <c r="L35" s="16" t="s">
        <v>29</v>
      </c>
      <c r="M35" s="18" t="s">
        <v>19</v>
      </c>
      <c r="N35" s="18"/>
    </row>
    <row r="36" spans="1:14" s="1" customFormat="1" ht="69">
      <c r="A36" s="6"/>
      <c r="B36" s="7"/>
      <c r="C36" s="24" t="s">
        <v>10</v>
      </c>
      <c r="D36" s="24" t="s">
        <v>67</v>
      </c>
      <c r="E36" s="24">
        <v>26</v>
      </c>
      <c r="F36" s="24">
        <v>2</v>
      </c>
      <c r="G36" s="24">
        <v>2</v>
      </c>
      <c r="H36" s="20" t="s">
        <v>12</v>
      </c>
      <c r="I36" s="24" t="s">
        <v>114</v>
      </c>
      <c r="J36" s="20"/>
      <c r="K36" s="23"/>
      <c r="L36" s="20" t="s">
        <v>27</v>
      </c>
      <c r="M36" s="29"/>
      <c r="N36" s="29" t="s">
        <v>20</v>
      </c>
    </row>
    <row r="37" spans="1:14" s="1" customFormat="1" ht="69">
      <c r="A37" s="6"/>
      <c r="B37" s="7"/>
      <c r="C37" s="24" t="s">
        <v>10</v>
      </c>
      <c r="D37" s="25" t="s">
        <v>68</v>
      </c>
      <c r="E37" s="25">
        <v>26</v>
      </c>
      <c r="F37" s="25">
        <v>4</v>
      </c>
      <c r="G37" s="25">
        <v>2</v>
      </c>
      <c r="H37" s="16" t="s">
        <v>12</v>
      </c>
      <c r="I37" s="25" t="s">
        <v>115</v>
      </c>
      <c r="J37" s="16"/>
      <c r="K37" s="18"/>
      <c r="L37" s="16" t="s">
        <v>27</v>
      </c>
      <c r="M37" s="27"/>
      <c r="N37" s="27" t="s">
        <v>20</v>
      </c>
    </row>
    <row r="38" spans="1:14" s="1" customFormat="1" ht="69">
      <c r="A38" s="6"/>
      <c r="B38" s="7"/>
      <c r="C38" s="24" t="s">
        <v>10</v>
      </c>
      <c r="D38" s="25" t="s">
        <v>69</v>
      </c>
      <c r="E38" s="25">
        <v>26</v>
      </c>
      <c r="F38" s="25">
        <v>6</v>
      </c>
      <c r="G38" s="25">
        <v>2</v>
      </c>
      <c r="H38" s="16" t="s">
        <v>12</v>
      </c>
      <c r="I38" s="25" t="s">
        <v>116</v>
      </c>
      <c r="J38" s="16"/>
      <c r="K38" s="18"/>
      <c r="L38" s="16" t="s">
        <v>27</v>
      </c>
      <c r="M38" s="27"/>
      <c r="N38" s="27" t="s">
        <v>20</v>
      </c>
    </row>
    <row r="39" spans="1:14" s="1" customFormat="1" ht="55.2">
      <c r="A39" s="6"/>
      <c r="B39" s="7"/>
      <c r="C39" s="24" t="s">
        <v>10</v>
      </c>
      <c r="D39" s="25" t="s">
        <v>70</v>
      </c>
      <c r="E39" s="25">
        <v>27</v>
      </c>
      <c r="F39" s="25">
        <v>0</v>
      </c>
      <c r="G39" s="25">
        <v>2</v>
      </c>
      <c r="H39" s="25" t="s">
        <v>12</v>
      </c>
      <c r="I39" s="26" t="s">
        <v>117</v>
      </c>
      <c r="J39" s="16"/>
      <c r="K39" s="18"/>
      <c r="L39" s="16" t="s">
        <v>27</v>
      </c>
      <c r="M39" s="27" t="s">
        <v>19</v>
      </c>
      <c r="N39" s="27" t="s">
        <v>20</v>
      </c>
    </row>
    <row r="40" spans="1:14" s="1" customFormat="1" ht="69">
      <c r="A40" s="6"/>
      <c r="B40" s="7"/>
      <c r="C40" s="24" t="s">
        <v>10</v>
      </c>
      <c r="D40" s="25" t="s">
        <v>71</v>
      </c>
      <c r="E40" s="25">
        <v>27</v>
      </c>
      <c r="F40" s="25">
        <v>2</v>
      </c>
      <c r="G40" s="25">
        <v>2</v>
      </c>
      <c r="H40" s="25" t="s">
        <v>12</v>
      </c>
      <c r="I40" s="25" t="s">
        <v>118</v>
      </c>
      <c r="J40" s="16"/>
      <c r="K40" s="18"/>
      <c r="L40" s="16" t="s">
        <v>27</v>
      </c>
      <c r="M40" s="27" t="s">
        <v>19</v>
      </c>
      <c r="N40" s="27" t="s">
        <v>20</v>
      </c>
    </row>
    <row r="41" spans="1:14" s="1" customFormat="1" ht="82.8">
      <c r="A41" s="6"/>
      <c r="B41" s="7"/>
      <c r="C41" s="24" t="s">
        <v>10</v>
      </c>
      <c r="D41" s="25" t="s">
        <v>72</v>
      </c>
      <c r="E41" s="25">
        <v>27</v>
      </c>
      <c r="F41" s="25">
        <v>4</v>
      </c>
      <c r="G41" s="25">
        <v>2</v>
      </c>
      <c r="H41" s="25" t="s">
        <v>12</v>
      </c>
      <c r="I41" s="25" t="s">
        <v>119</v>
      </c>
      <c r="J41" s="16"/>
      <c r="K41" s="18"/>
      <c r="L41" s="16" t="s">
        <v>27</v>
      </c>
      <c r="M41" s="27" t="s">
        <v>19</v>
      </c>
      <c r="N41" s="27" t="s">
        <v>20</v>
      </c>
    </row>
    <row r="42" spans="1:14" s="1" customFormat="1" ht="69">
      <c r="A42" s="6"/>
      <c r="B42" s="7"/>
      <c r="C42" s="24" t="s">
        <v>10</v>
      </c>
      <c r="D42" s="25" t="s">
        <v>73</v>
      </c>
      <c r="E42" s="25">
        <v>27</v>
      </c>
      <c r="F42" s="25">
        <v>6</v>
      </c>
      <c r="G42" s="25">
        <v>2</v>
      </c>
      <c r="H42" s="25" t="s">
        <v>12</v>
      </c>
      <c r="I42" s="25" t="s">
        <v>120</v>
      </c>
      <c r="J42" s="16"/>
      <c r="K42" s="18"/>
      <c r="L42" s="16" t="s">
        <v>27</v>
      </c>
      <c r="M42" s="27" t="s">
        <v>19</v>
      </c>
      <c r="N42" s="27" t="s">
        <v>20</v>
      </c>
    </row>
    <row r="43" spans="1:14" s="1" customFormat="1" ht="79.2">
      <c r="A43" s="6"/>
      <c r="B43" s="7"/>
      <c r="C43" s="33" t="s">
        <v>10</v>
      </c>
      <c r="D43" s="34" t="s">
        <v>74</v>
      </c>
      <c r="E43" s="16">
        <v>28</v>
      </c>
      <c r="F43" s="34">
        <v>0</v>
      </c>
      <c r="G43" s="34">
        <v>8</v>
      </c>
      <c r="H43" s="34" t="s">
        <v>17</v>
      </c>
      <c r="I43" s="35"/>
      <c r="J43" s="16"/>
      <c r="K43" s="18"/>
      <c r="L43" s="16">
        <v>15</v>
      </c>
      <c r="M43" s="35" t="s">
        <v>75</v>
      </c>
      <c r="N43" s="27" t="s">
        <v>20</v>
      </c>
    </row>
    <row r="44" spans="1:14" s="1" customFormat="1">
      <c r="A44" s="6"/>
      <c r="B44" s="7"/>
      <c r="C44" s="33" t="s">
        <v>10</v>
      </c>
      <c r="D44" s="34" t="s">
        <v>76</v>
      </c>
      <c r="E44" s="16">
        <v>29</v>
      </c>
      <c r="F44" s="34">
        <v>0</v>
      </c>
      <c r="G44" s="34">
        <v>8</v>
      </c>
      <c r="H44" s="34" t="s">
        <v>17</v>
      </c>
      <c r="I44" s="18"/>
      <c r="J44" s="16"/>
      <c r="K44" s="18"/>
      <c r="L44" s="16" t="s">
        <v>29</v>
      </c>
      <c r="M44" s="35"/>
      <c r="N44" s="27" t="s">
        <v>20</v>
      </c>
    </row>
    <row r="45" spans="1:14" s="1" customFormat="1" ht="26.4">
      <c r="A45" s="6"/>
      <c r="B45" s="7"/>
      <c r="C45" s="33" t="s">
        <v>10</v>
      </c>
      <c r="D45" s="34" t="s">
        <v>77</v>
      </c>
      <c r="E45" s="16">
        <v>30</v>
      </c>
      <c r="F45" s="34">
        <v>0</v>
      </c>
      <c r="G45" s="34">
        <v>8</v>
      </c>
      <c r="H45" s="34" t="s">
        <v>17</v>
      </c>
      <c r="I45" s="18"/>
      <c r="J45" s="16"/>
      <c r="K45" s="18"/>
      <c r="L45" s="16" t="s">
        <v>27</v>
      </c>
      <c r="M45" s="35"/>
      <c r="N45" s="27" t="s">
        <v>20</v>
      </c>
    </row>
    <row r="46" spans="1:14" s="1" customFormat="1" ht="79.2">
      <c r="A46" s="6"/>
      <c r="B46" s="7"/>
      <c r="C46" s="33" t="s">
        <v>10</v>
      </c>
      <c r="D46" s="34" t="s">
        <v>78</v>
      </c>
      <c r="E46" s="16">
        <v>31</v>
      </c>
      <c r="F46" s="34">
        <v>0</v>
      </c>
      <c r="G46" s="34">
        <v>8</v>
      </c>
      <c r="H46" s="34" t="s">
        <v>17</v>
      </c>
      <c r="I46" s="35"/>
      <c r="J46" s="16"/>
      <c r="K46" s="18"/>
      <c r="L46" s="16">
        <v>15</v>
      </c>
      <c r="M46" s="35" t="s">
        <v>79</v>
      </c>
      <c r="N46" s="27" t="s">
        <v>20</v>
      </c>
    </row>
    <row r="47" spans="1:14" s="1" customFormat="1" ht="27.6">
      <c r="A47" s="6"/>
      <c r="B47" s="7"/>
      <c r="C47" s="24" t="s">
        <v>10</v>
      </c>
      <c r="D47" s="25" t="s">
        <v>80</v>
      </c>
      <c r="E47" s="25">
        <v>59</v>
      </c>
      <c r="F47" s="25">
        <v>0</v>
      </c>
      <c r="G47" s="25">
        <v>32</v>
      </c>
      <c r="H47" s="16" t="s">
        <v>17</v>
      </c>
      <c r="I47" s="16"/>
      <c r="J47" s="16"/>
      <c r="K47" s="18"/>
      <c r="L47" s="16" t="s">
        <v>81</v>
      </c>
      <c r="M47" s="27"/>
      <c r="N47" s="27"/>
    </row>
    <row r="48" spans="1:14" s="1" customFormat="1" ht="26.4">
      <c r="A48" s="6"/>
      <c r="B48" s="7"/>
      <c r="C48" s="14" t="s">
        <v>10</v>
      </c>
      <c r="D48" s="16" t="s">
        <v>82</v>
      </c>
      <c r="E48" s="16">
        <v>63</v>
      </c>
      <c r="F48" s="34">
        <v>0</v>
      </c>
      <c r="G48" s="16">
        <v>8</v>
      </c>
      <c r="H48" s="16" t="s">
        <v>17</v>
      </c>
      <c r="I48" s="18"/>
      <c r="J48" s="16"/>
      <c r="K48" s="18"/>
      <c r="L48" s="16" t="s">
        <v>42</v>
      </c>
      <c r="M48" s="18" t="s">
        <v>19</v>
      </c>
      <c r="N48" s="18"/>
    </row>
  </sheetData>
  <pageMargins left="0.75" right="0.75" top="1" bottom="1" header="0.51111111111111096" footer="0.51111111111111096"/>
  <pageSetup paperSize="9" orientation="portrait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2026-08-12T01:50:28Z</dcterms:created>
  <dcterms:modified xsi:type="dcterms:W3CDTF">2026-08-12T02:07:16Z</dcterms:modified>
</cp:coreProperties>
</file>