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EA906A54-14C0-411E-AA56-B04EDA7E1755}" xr6:coauthVersionLast="47" xr6:coauthVersionMax="47" xr10:uidLastSave="{00000000-0000-0000-0000-000000000000}"/>
  <bookViews>
    <workbookView xWindow="-96" yWindow="0" windowWidth="14016" windowHeight="12336" xr2:uid="{51A74C21-A0EF-4DDE-8C1B-70F6BE272DAF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localSheetId="0" hidden="1">{"RES-2001",#N/A,FALSE,"BL2000";"A1-2001",#N/A,FALSE,"BL2000";"A2-2001",#N/A,FALSE,"BL2000"}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[1]Selections!$A$2:$A$103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aab">[1]Selections!$A$2:$A$103</definedName>
    <definedName name="aac">[1]Selections!$A$2:$A$103</definedName>
    <definedName name="ab" localSheetId="0" hidden="1">{"HS_USA",#N/A,FALSE,"Base"}</definedName>
    <definedName name="ab" hidden="1">{"HS_USA",#N/A,FALSE,"Base"}</definedName>
    <definedName name="ABC" localSheetId="0" hidden="1">{"INCPRE2000",#N/A,FALSE,"BL2000"}</definedName>
    <definedName name="ABC" hidden="1">{"INCPRE2000",#N/A,FALSE,"BL2000"}</definedName>
    <definedName name="abcd" localSheetId="0" hidden="1">{"PT2000",#N/A,FALSE,"BL2000"}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[1]Selections!$H$2:$H$4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 localSheetId="0">InpMove10</definedName>
    <definedName name="ad">InpMove10</definedName>
    <definedName name="AGO">#REF!</definedName>
    <definedName name="AHQ">#REF!</definedName>
    <definedName name="AHQ_a">#REF!</definedName>
    <definedName name="AIAOYE" localSheetId="0">InpMove7</definedName>
    <definedName name="AIAOYE">InpMove7</definedName>
    <definedName name="AK">#REF!</definedName>
    <definedName name="ALE">#REF!</definedName>
    <definedName name="Alert_Behaviour">[1]Selections!$G$2:$G$7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[2]Selections!$I$1:$I$2</definedName>
    <definedName name="Area">[2]Selections!$I$1:$I$2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[2]Selections!$C$1:$C$7</definedName>
    <definedName name="Audience">[2]Selections!$C$1:$C$7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 localSheetId="0">{"RES-2001",#N/A,FALSE,"BL2000";"A1-2001",#N/A,FALSE,"BL2000";"A2-2001",#N/A,FALSE,"BL2000"}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localSheetId="0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[1]Selections!$J$2:$J$4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[2]Selections!$F$1:$F$9</definedName>
    <definedName name="Decode_Type">[2]Selections!$F$1:$F$9</definedName>
    <definedName name="Desc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[2]Selections!$E$1:$E$6</definedName>
    <definedName name="DID_Group">[2]Selections!$E$1:$E$6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 localSheetId="0">'CDS Coding'!DownButton</definedName>
    <definedName name="DownButton">DownButton</definedName>
    <definedName name="Ｄｐ">#REF!</definedName>
    <definedName name="Ｄｐｓ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>#REF!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[1]Selections!$F$2:$F$7</definedName>
    <definedName name="DTEXT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 localSheetId="0">[3]Selections!$I$1:$I$2</definedName>
    <definedName name="ECUDID1">[3]Selections!$I$1:$I$2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localSheetId="0" hidden="1">{"PT2000",#N/A,FALSE,"BL2000"}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 localSheetId="0">[4]Selections!$H$2:$H$4</definedName>
    <definedName name="FaultList1">[4]Selections!$H$2:$H$4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 localSheetId="0">InpMove14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 localSheetId="0">InpMove2</definedName>
    <definedName name="ｆｆｄｆ">InpMove2</definedName>
    <definedName name="FFF" hidden="1">#REF!</definedName>
    <definedName name="FGD">#REF!</definedName>
    <definedName name="ｆｇｆｇｆ" localSheetId="0">InpMove2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>#REF!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 localSheetId="0">'CDS Coding'!GoAssetChart</definedName>
    <definedName name="GoAssetChart">GoAssetChart</definedName>
    <definedName name="GoBack" localSheetId="0">'CDS Coding'!GoBack</definedName>
    <definedName name="GoBack">GoBack</definedName>
    <definedName name="GoBalanceSheet" localSheetId="0">'CDS Coding'!GoBalanceSheet</definedName>
    <definedName name="GoBalanceSheet">GoBalanceSheet</definedName>
    <definedName name="GoCashFlow" localSheetId="0">'CDS Coding'!GoCashFlow</definedName>
    <definedName name="GoCashFlow">GoCashFlow</definedName>
    <definedName name="GoData" localSheetId="0">'CDS Coding'!GoData</definedName>
    <definedName name="GoData">GoData</definedName>
    <definedName name="GoIncomeChart" localSheetId="0">'CDS Coding'!GoIncomeChart</definedName>
    <definedName name="GoIncomeChart">GoIncomeChart</definedName>
    <definedName name="GOKEI">#REF!</definedName>
    <definedName name="GR">#REF!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 localSheetId="0">InpMove4</definedName>
    <definedName name="ｇｒｆｒ">InpMove4</definedName>
    <definedName name="GrossSales">#REF!</definedName>
    <definedName name="Group">#REF!</definedName>
    <definedName name="GS">#REF!</definedName>
    <definedName name="ｇっれ" localSheetId="0">RunCloT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 localSheetId="0">[5]Selections!$A$2:$A$103</definedName>
    <definedName name="Hex_LB">[5]Selections!$A$2:$A$103</definedName>
    <definedName name="HF1_HARN">#N/A</definedName>
    <definedName name="ｈｇｈｆｇ" localSheetId="0">InpMove5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localSheetId="0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[2]Selections!$I$1:$I$2</definedName>
    <definedName name="Implementation">[2]Selections!$I$1:$I$2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 localSheetId="0">'CDS Coding'!jkljlk</definedName>
    <definedName name="jkljlk">jkljlk</definedName>
    <definedName name="john" localSheetId="0" hidden="1">{"Capital Spending",#N/A,FALSE,"CAP SPEND SUM"}</definedName>
    <definedName name="john" hidden="1">{"Capital Spending",#N/A,FALSE,"CAP SPEND SUM"}</definedName>
    <definedName name="JORDI" localSheetId="0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 localSheetId="0">'CDS Coding'!LeftButton</definedName>
    <definedName name="LeftButton">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[2]Selections!$G$1:$G$4</definedName>
    <definedName name="Memory">[2]Selections!$G$1:$G$4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[2]Selections!$B$1:$B$3</definedName>
    <definedName name="MSB_LSB">[2]Selections!$B$1:$B$3</definedName>
    <definedName name="MSB_LSB_List" localSheetId="0">[6]Selections!$B$1:$B$3</definedName>
    <definedName name="MSB_LSB_List">[6]Selections!$B$1:$B$3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 localSheetId="0">[2]Selections!$A$1:$A$3</definedName>
    <definedName name="No_Yes">[2]Selections!$A$1:$A$3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 localSheetId="0">'CDS Coding'!OPT質量表</definedName>
    <definedName name="OPT質量表">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[7]Ref_Ranges!$AI$2:$AI$3</definedName>
    <definedName name="P2_DIDs">[7]Ref_Ranges!$AI$2:$AI$3</definedName>
    <definedName name="P2_ECUPins" localSheetId="0">OFFSET([8]Ref_Ranges!$N$1,1,0,IF(MATCH("*",[8]Ref_Ranges!$N:$N,-1) &gt; 2,MATCH("*",[8]Ref_Ranges!$N:$N,-1),3)-1,1)</definedName>
    <definedName name="P2_ECUPins">OFFSET([8]Ref_Ranges!$N$1,1,0,IF(MATCH("*",[8]Ref_Ranges!$N:$N,-1) &gt; 2,MATCH("*",[8]Ref_Ranges!$N:$N,-1),3)-1,1)</definedName>
    <definedName name="P2_ECUType" localSheetId="0">[7]Header!$D$139:$D$150</definedName>
    <definedName name="P2_ECUType">[7]Header!$D$139:$D$150</definedName>
    <definedName name="P2_ExtDataList" localSheetId="0">[7]Ref_Ranges!$AE$2:$AE$4</definedName>
    <definedName name="P2_ExtDataList">[7]Ref_Ranges!$AE$2:$AE$4</definedName>
    <definedName name="P2_LSDIDList" localSheetId="0">[7]Ref_Ranges!$X$2:$X$4</definedName>
    <definedName name="P2_LSDIDList">[7]Ref_Ranges!$X$2:$X$4</definedName>
    <definedName name="P2_SSD3SymtomValidator" localSheetId="0">[7]Ref_Ranges!$AK$2:$AK$3</definedName>
    <definedName name="P2_SSD3SymtomValidator">[7]Ref_Ranges!$AK$2:$AK$3</definedName>
    <definedName name="P2_Symptom_Validator" localSheetId="0">OFFSET([7]Ref_Ranges!$P$1,1,0,IF(MATCH("*",[7]Ref_Ranges!$P:$P,-1) &gt; 2,MATCH("*",[7]Ref_Ranges!$P:$P,-1),3)-1,1)</definedName>
    <definedName name="P2_Symptom_Validator">OFFSET([7]Ref_Ranges!$P$1,1,0,IF(MATCH("*",[7]Ref_Ranges!$P:$P,-1) &gt; 2,MATCH("*",[7]Ref_Ranges!$P:$P,-1),3)-1,1)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[1]Selections!$D$2:$D$5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[1]Selections!$I$2:$I$6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[2]Selections!$D$1:$D$9</definedName>
    <definedName name="R_IO_W">[2]Selections!$D$1:$D$9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'[9]1.General'!#REF!</definedName>
    <definedName name="Req_5">'[10]1.General'!#REF!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 localSheetId="0">'CDS Coding'!RightButton</definedName>
    <definedName name="RightButton">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H_SENS">#REF!</definedName>
    <definedName name="ｒｔれｔ" localSheetId="0">'CDS Coding'!ｒｔれｔ</definedName>
    <definedName name="ｒｔれｔ">ｒｔれｔ</definedName>
    <definedName name="ｒｗｒｗ" localSheetId="0">'CDS Coding'!ててあ</definedName>
    <definedName name="ｒｗｒｗ">ててあ</definedName>
    <definedName name="ｒｗｗ" localSheetId="0">'CDS Coding'!えれｒ</definedName>
    <definedName name="ｒｗｗ">えれｒ</definedName>
    <definedName name="RXO7速変速JEM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 localSheetId="0">[11]Selections!$I$2:$I$6</definedName>
    <definedName name="s">[11]Selections!$I$2:$I$6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 localSheetId="0">InpMove15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 localSheetId="0">'CDS Coding'!ええ</definedName>
    <definedName name="sd">ええ</definedName>
    <definedName name="sdf" localSheetId="0">'CDS Coding'!うぇｗｓ</definedName>
    <definedName name="sdf">うぇｗｓ</definedName>
    <definedName name="SDFG">#REF!</definedName>
    <definedName name="SDFGSDFG">#REF!</definedName>
    <definedName name="SDFGSDFGSDFG">#REF!</definedName>
    <definedName name="ｓｄｓｄ" localSheetId="0">InpMove14</definedName>
    <definedName name="ｓｄｓｄ">InpMove14</definedName>
    <definedName name="sdsf" localSheetId="0">'CDS Coding'!sdsf</definedName>
    <definedName name="sdsf">sdsf</definedName>
    <definedName name="ｓｄｓｗｗ" localSheetId="0">InpMove12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[2]Selections!$H$1:$H$3</definedName>
    <definedName name="Security_Required">[2]Selections!$H$1:$H$3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 localSheetId="0">'CDS Coding'!SetupData</definedName>
    <definedName name="SetupData">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[1]Selections!$B$2:$B$103</definedName>
    <definedName name="texy">#REF!</definedName>
    <definedName name="ｔｇで" localSheetId="0">TMdatadisp1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localSheetId="0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 localSheetId="0">'CDS Coding'!UpButton</definedName>
    <definedName name="UpButton">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 localSheetId="0">InpMove7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localSheetId="0" hidden="1">{"PT2000",#N/A,FALSE,"BL2000"}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localSheetId="0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localSheetId="0" hidden="1">{"CTO ACUMULADO",#N/A,FALSE,"BASE ANEXOS";"VAR ACUMULADAS",#N/A,FALSE,"BASE ANEXOS"}</definedName>
    <definedName name="wakarann" hidden="1">{"CTO ACUMULADO",#N/A,FALSE,"BASE ANEXOS";"VAR ACUMULADAS",#N/A,FALSE,"BASE ANEXOS"}</definedName>
    <definedName name="walden">#REF!</definedName>
    <definedName name="we" localSheetId="0">'CDS Coding'!ｗせｗｓ</definedName>
    <definedName name="we">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localSheetId="0" hidden="1">{"Capital Spending",#N/A,FALSE,"CAP SPEND SUM"}</definedName>
    <definedName name="wrn.Capital._.Spending." hidden="1">{"Capital Spending",#N/A,FALSE,"CAP SPEND SUM"}</definedName>
    <definedName name="wrn.COMNUS." localSheetId="0" hidden="1">{"COMNUS2000",#N/A,FALSE,"BL2000"}</definedName>
    <definedName name="wrn.COMNUS." hidden="1">{"COMNUS2000",#N/A,FALSE,"BL2000"}</definedName>
    <definedName name="wrn.Comparisons." localSheetId="0" hidden="1">{"Comparisons",#N/A,FALSE,"CAP SPEND SUM"}</definedName>
    <definedName name="wrn.Comparisons." hidden="1">{"Comparisons",#N/A,FALSE,"CAP SPEND SUM"}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localSheetId="0" hidden="1">{"Current Actual and Expenditures",#N/A,FALSE,"VT SPLIT"}</definedName>
    <definedName name="wrn.Current._.Actual._.and._.Expenditures." hidden="1">{"Current Actual and Expenditures",#N/A,FALSE,"VT SPLIT"}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localSheetId="0" hidden="1">{"Prior Budget Projections",#N/A,FALSE,"VT SPLIT"}</definedName>
    <definedName name="wrn.Prior._.Budget._.Projections." hidden="1">{"Prior Budget Projections",#N/A,FALSE,"VT SPLIT"}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 localSheetId="0">'CDS Coding'!Ｘ81Ｂ</definedName>
    <definedName name="Ｘ81Ｂ">Ｘ81Ｂ</definedName>
    <definedName name="ｘ81ｂ01" localSheetId="0">'CDS Coding'!ｘ81ｂ01</definedName>
    <definedName name="ｘ81ｂ01">ｘ81ｂ01</definedName>
    <definedName name="XX" localSheetId="0">'CDS Coding'!XX</definedName>
    <definedName name="XX">XX</definedName>
    <definedName name="xxa1">[12]DataBlock!#REF!</definedName>
    <definedName name="xxx1">[12]DataBlock!#REF!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[12]DataBlock!#REF!</definedName>
    <definedName name="yes" localSheetId="0">#REF!</definedName>
    <definedName name="yes">#REF!</definedName>
    <definedName name="yes_no">[1]Selections!$E$2:$E$3</definedName>
    <definedName name="ｙｙｒｔ">#N/A</definedName>
    <definedName name="yyy1">[12]DataBlock!#REF!</definedName>
    <definedName name="z" localSheetId="0" hidden="1">{"RESUMEN",#N/A,FALSE,"BASE ANEXOS";"ANEXO 1",#N/A,FALSE,"BASE ANEXOS";"ANEXO 2",#N/A,FALSE,"BASE ANEXOS"}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[12]DataBlock!#REF!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 localSheetId="0">InpMove1</definedName>
    <definedName name="ｱｱ">InpMove1</definedName>
    <definedName name="ああ">#REF!</definedName>
    <definedName name="ｱｱｱ" localSheetId="0">InpMove7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localSheetId="0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localSheetId="0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 localSheetId="0">InpMove1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 localSheetId="0">'CDS Coding'!ｖｄ</definedName>
    <definedName name="散布図作成">ｖｄ</definedName>
    <definedName name="新・改">#REF!</definedName>
    <definedName name="方針書" localSheetId="0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localSheetId="0" hidden="1">{"COMNUS2000",#N/A,FALSE,"BL2000"}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'CDS Coding'!訳P11</definedName>
    <definedName name="訳P11">訳P11</definedName>
    <definedName name="課ｺｰﾄﾞ">#REF!</definedName>
    <definedName name="課リスト">#REF!</definedName>
    <definedName name="負担区分リスト">#REF!</definedName>
    <definedName name="質量" localSheetId="0">'CDS Coding'!質量</definedName>
    <definedName name="質量">質量</definedName>
    <definedName name="質量表" localSheetId="0">'CDS Coding'!質量表</definedName>
    <definedName name="質量表">質量表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 localSheetId="0">RunTCcst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<sst xmlns="http://schemas.openxmlformats.org/spreadsheetml/2006/main" count="112" uniqueCount="96">
  <si>
    <t>Format Byte</t>
  </si>
  <si>
    <t>Short VIN</t>
  </si>
  <si>
    <t>Model Year</t>
  </si>
  <si>
    <t>0</t>
  </si>
  <si>
    <t>8</t>
  </si>
  <si>
    <t>Vehicle Name</t>
  </si>
  <si>
    <t>0x0=Unsupported
0x1=VF3
0x2=VFe34
0x3=VF5NP
0x4=VF6NP
0x5=VF7NP
0x6=VF8NP
0x7=VF9NP
0x8=Minio Green
0x9=Herio Green
0xA=Nerio Green
0xB=Limo Green
0xC=Lac Hong 900
0xD= VF Limo
0xE=Xpress Max
0xF=Xpress Truck
0x10=Spress Store
0x11=Xpress Tour
0xFF=Invalid</t>
  </si>
  <si>
    <t>Vehicle Variant</t>
  </si>
  <si>
    <t>Market</t>
  </si>
  <si>
    <t>Sale area</t>
  </si>
  <si>
    <t>Steering Wheel Position</t>
  </si>
  <si>
    <t>Leveling Headlamp</t>
  </si>
  <si>
    <t>Instrument cluster (IPC)</t>
  </si>
  <si>
    <t>Main screen (MDU)</t>
  </si>
  <si>
    <t>Speakers</t>
  </si>
  <si>
    <t>Wireless charger</t>
  </si>
  <si>
    <t>Tire Pressure Monitoring System (TPMS)</t>
  </si>
  <si>
    <t>ORVM: power adjust</t>
  </si>
  <si>
    <t>ORVM: power folding</t>
  </si>
  <si>
    <t xml:space="preserve">RPA - Rear Parking Assist </t>
  </si>
  <si>
    <t>SVM - Surround View Monitoring (L0)</t>
  </si>
  <si>
    <t>RVC - Rear view camera</t>
  </si>
  <si>
    <t>Vinfast Digital key (NFC/BLE/UWB)</t>
  </si>
  <si>
    <t>Microphone</t>
  </si>
  <si>
    <t>Evaporator Temperature Sensor</t>
  </si>
  <si>
    <t>Ambient temp sensor</t>
  </si>
  <si>
    <t>Position Lamp</t>
  </si>
  <si>
    <t>Daytime running lamp (DRL)</t>
  </si>
  <si>
    <t>ORVM: LED turning signal</t>
  </si>
  <si>
    <t>ORVM: heated</t>
  </si>
  <si>
    <t>Sensor Number</t>
  </si>
  <si>
    <t>Ground Clearance</t>
  </si>
  <si>
    <t>TSC (Torque Steer Compensation)</t>
  </si>
  <si>
    <t>PDC (Pull Drift Compensation)</t>
  </si>
  <si>
    <t>Wheel size</t>
  </si>
  <si>
    <t>DPB (Dynamic Parking Brake)</t>
  </si>
  <si>
    <t>AVH - Auto Vehicle Hold</t>
  </si>
  <si>
    <t>HSA (Hill Start Assist)</t>
  </si>
  <si>
    <t xml:space="preserve">ESS (Emergency Stop Signal) </t>
  </si>
  <si>
    <t>Front WSS Type</t>
  </si>
  <si>
    <t>Rear WSS type</t>
  </si>
  <si>
    <t>ACC - Adaptive Cruise Control (L1) </t>
  </si>
  <si>
    <t>Air Ionizer</t>
  </si>
  <si>
    <t>Battery Capacity (kWh) - Usable</t>
  </si>
  <si>
    <t>Battery Capacity (kWh) - Supplier type</t>
  </si>
  <si>
    <t>High Voltage PTC heater</t>
  </si>
  <si>
    <t>Acoustic vehicle alerting system (AVAS)</t>
  </si>
  <si>
    <t>Auto up/down (anti-pinch) (APM)</t>
  </si>
  <si>
    <t>Steering wheel multi-function: entertainment</t>
  </si>
  <si>
    <t>Steering wheel multi-function: ADAS function</t>
  </si>
  <si>
    <t>Charge port light</t>
  </si>
  <si>
    <t>CRC</t>
  </si>
  <si>
    <t xml:space="preserve">
0x0=Unsupported
0x1= Comfort
0x2= Premium
0x3= Earth
0x4= Wind
0x5=  Sky
0x6=  HerioGreen
0x7=  Reserved
0x8 = Reserved
0x9 = Reserved
0xA = Reserved
0xF=Invalid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</si>
  <si>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</si>
  <si>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</si>
  <si>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0x1=Left hand drive (LHD)
0x2=Right hand drive (RHD)
0xF=Invalid</t>
  </si>
  <si>
    <t xml:space="preserve">
0x0=Unsupported
0x1=Without leveling headlamps
0x2=With Manual Leveling headlamps
0x3=With Auto Leveling headlamps
0xF=Invalid</t>
  </si>
  <si>
    <t xml:space="preserve">
0x0= Without IPC component 
0x1= With IPC (ECU)
0x2= With IPC (LVDS screen)
0xF=Invalid</t>
  </si>
  <si>
    <t xml:space="preserve">
0x0=With MDU 10 inch
0x1=With MDU 12.9 Inch
0xF=Invalid</t>
  </si>
  <si>
    <t xml:space="preserve">
0x0=Unsupported
0x1=Without 
0x2=With 2 speakers
0x3= With 6 speakers
0xF=Invalid</t>
  </si>
  <si>
    <t xml:space="preserve">
0x0=Unsupported
0x1=Without WLC
0x2=With WLC (1st row)
0xF=Invalid</t>
  </si>
  <si>
    <t xml:space="preserve">
0x0=Unsupported
0x1=Without dTPMS
0x2=With  dTPMS
0xF=Invalid</t>
  </si>
  <si>
    <t xml:space="preserve">
0x0=Unsupported
0x1=Without ORVM: power adjust
0x2=With ORVM: power adjust
0x3=Invalid</t>
  </si>
  <si>
    <t xml:space="preserve">
0x0=Unsupported
0x1=Without ORVM: power folding
0x2=With ORVM: power folding
0x3=Invalid</t>
  </si>
  <si>
    <t xml:space="preserve">
0x0=Unsupported
0x1=Without RPA
0x2=With RPA
0xF=Invalid</t>
  </si>
  <si>
    <t xml:space="preserve">
0x0=Unsupported
0x1=Without SVM
0x2=With SVM
0xF=Invalid</t>
  </si>
  <si>
    <t xml:space="preserve">
0x0=Unsupported
0x1=Without RVC
0x2=With RVC
0xF=Invalid</t>
  </si>
  <si>
    <t xml:space="preserve">
0x0=Unsupported
0x1=Without 
0x2=With Driver Seatbelt Reminder only
0x3= With Driver Occupant detection &amp; Seatbelt Reminder
0xF=Invalid</t>
  </si>
  <si>
    <t xml:space="preserve">
0x0=Unsupported
0x1=Without 
0x2=With 
0xF=Invalid</t>
  </si>
  <si>
    <t xml:space="preserve">
0x0=Unsupported
0x1=Demist only
0x2=Defrost only
0x3=Demist &amp; Defrost
0xF=Invalid</t>
  </si>
  <si>
    <t xml:space="preserve">
0x0=Unsupported
0x1=Without
0x2=With NFC only
0x3= With NFC &amp; BLE
0x4= With NFC &amp; BLE &amp; UWB
0xF=Invalid</t>
  </si>
  <si>
    <t xml:space="preserve">
0x0=Unsupported
0x1=Without Daytime running light
0x2=With Daytime running light Halogen
0xF=Invalid</t>
  </si>
  <si>
    <t xml:space="preserve">
0x0=Unsupported
0x1=Without ORVM: LED turning signal
0x2=With ORVM: LED turning signal
0xF=Invalid</t>
  </si>
  <si>
    <t xml:space="preserve">
0x0=Unsupported
0x1=Without ORVM: heated
0x2=With ORVM: heated
0xF=Invalid</t>
  </si>
  <si>
    <t xml:space="preserve">
0x0=Unsupported
0x1= 2 USS
0x2= 4 USS
0x3= Reserved
0x4= Reserved
0xF=Invalid</t>
  </si>
  <si>
    <t xml:space="preserve">
0x0=Unsupported
0x1= 170 mm
0x2= 190 mm
0x3= 175 mm
0x4 = 189 mm
0x5 = 178mm
0x6 = 198mm
0x7 = Reserved
0x8 = Reserved
0x9 = Reserved
0xF: Invalid</t>
  </si>
  <si>
    <t xml:space="preserve">
0x0=Unsupported
0x1=16"
0x2=17"
0x3=18"
0x4=19"
0x5=20"
0x6=21"
0x7= 22"
0xF=Invalid</t>
  </si>
  <si>
    <t xml:space="preserve">
0x0=Unsupported
0x1=With PWM
0x2=With Stanard
0xF=Invalid</t>
  </si>
  <si>
    <t xml:space="preserve">
0x0=Unsupported
0x1=With 37.23 kWh 
0x2=With 43 kWh
0xF=Invalid</t>
  </si>
  <si>
    <t xml:space="preserve">
0x0=Unsupported
0x1=With Gotion
0x2=With CATL
0xF=Invalid</t>
  </si>
  <si>
    <t xml:space="preserve">
0x0=Unsupported
0x1= With out
0x2= With &gt;1KW HV PTC
0x3 = With 3 kW HV PTC
0xF=Invalid</t>
  </si>
  <si>
    <t xml:space="preserve">
0x0=Unsupported
0x1=Without AVAS
0x2=With AVAS
0xF=Invalid</t>
  </si>
  <si>
    <t xml:space="preserve">
0x0=Unsupported
0x1=Without 
0x2=With Auto up/down (anti-pinch) Driver only
0x3= With Auto up/down (anti-pinch) 4 windowns
0xF=Invalid</t>
  </si>
  <si>
    <t>"
0x0=Unsupported
0x1=Without
0x2=With
0xF=Invalid"</t>
  </si>
  <si>
    <t>"
0x0=Unsupported
0x1=Without 
0x2=With Basic Cruise Control
0xF=Invalid"</t>
  </si>
  <si>
    <t xml:space="preserve">
0x0=Unsupported
0x1=Without
0x2=With
0xF=Invalid"</t>
  </si>
  <si>
    <t>$Parameter</t>
  </si>
  <si>
    <t>$BytePos (from 0)</t>
  </si>
  <si>
    <t>$BitPos</t>
  </si>
  <si>
    <t>$BitLength</t>
  </si>
  <si>
    <t>$MethodType</t>
  </si>
  <si>
    <t>Demist and Defrost</t>
  </si>
  <si>
    <t>2nd Row Occupant detection &amp; Seatbelt Reminder</t>
  </si>
  <si>
    <t>Passenger Occupant detection &amp; Seatbelt Reminder</t>
  </si>
  <si>
    <t>Driver Occupant detection &amp; Seatbelt Reminder</t>
  </si>
  <si>
    <t>2000|2099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</si>
</sst>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宋体"/>
      <charset val="134"/>
    </font>
    <font>
      <sz val="11"/>
      <color indexed="8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2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5" fillId="0" borderId="0"/>
    <xf numFmtId="0" fontId="9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>
      <alignment vertical="center"/>
    </xf>
    <xf numFmtId="0" fontId="5" fillId="0" borderId="0"/>
  </cellStyleXfs>
  <cellXfs count="54">
    <xf numFmtId="0" fontId="0" fillId="0" borderId="0" xfId="0"/>
    <xf numFmtId="0" fontId="4" fillId="0" borderId="0" xfId="2" applyFont="1" applyAlignment="1">
      <alignment vertical="center" wrapText="1"/>
    </xf>
    <xf numFmtId="0" fontId="4" fillId="0" borderId="0" xfId="2" applyFont="1" applyAlignment="1">
      <alignment wrapText="1"/>
    </xf>
    <xf numFmtId="0" fontId="10" fillId="3" borderId="1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 wrapText="1"/>
    </xf>
    <xf numFmtId="0" fontId="4" fillId="0" borderId="0" xfId="3" applyFont="1" applyAlignment="1">
      <alignment vertical="center" wrapText="1"/>
    </xf>
    <xf numFmtId="0" fontId="7" fillId="0" borderId="2" xfId="10" applyFont="1" applyBorder="1" applyAlignment="1">
      <alignment horizontal="left" vertical="center" wrapText="1"/>
    </xf>
    <xf numFmtId="0" fontId="7" fillId="0" borderId="1" xfId="10" applyFont="1" applyBorder="1" applyAlignment="1">
      <alignment horizontal="left" vertical="top" wrapText="1"/>
    </xf>
    <xf numFmtId="0" fontId="7" fillId="0" borderId="2" xfId="10" applyFont="1" applyBorder="1" applyAlignment="1">
      <alignment horizontal="left" vertical="top" wrapText="1"/>
    </xf>
    <xf numFmtId="0" fontId="7" fillId="0" borderId="0" xfId="3" applyFont="1" applyAlignment="1">
      <alignment vertical="center" wrapText="1"/>
    </xf>
    <xf numFmtId="0" fontId="7" fillId="0" borderId="3" xfId="10" applyFont="1" applyBorder="1" applyAlignment="1">
      <alignment horizontal="left" vertical="center" wrapText="1"/>
    </xf>
    <xf numFmtId="0" fontId="7" fillId="2" borderId="4" xfId="10" applyFont="1" applyFill="1" applyBorder="1" applyAlignment="1">
      <alignment vertical="center" wrapText="1"/>
    </xf>
    <xf numFmtId="0" fontId="7" fillId="0" borderId="1" xfId="10" applyFont="1" applyBorder="1" applyAlignment="1">
      <alignment horizontal="left" vertical="center"/>
    </xf>
    <xf numFmtId="0" fontId="7" fillId="0" borderId="1" xfId="10" applyFont="1" applyBorder="1" applyAlignment="1">
      <alignment vertical="center" wrapText="1"/>
    </xf>
    <xf numFmtId="0" fontId="12" fillId="0" borderId="1" xfId="3" applyFont="1" applyBorder="1" applyAlignment="1">
      <alignment horizontal="center" vertical="center" wrapText="1"/>
    </xf>
    <xf numFmtId="0" fontId="13" fillId="0" borderId="0" xfId="3" applyFont="1" applyAlignment="1">
      <alignment vertical="top" wrapText="1"/>
    </xf>
    <xf numFmtId="0" fontId="12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left" vertical="top" wrapText="1"/>
    </xf>
    <xf numFmtId="0" fontId="6" fillId="4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7" fillId="0" borderId="1" xfId="3" applyFont="1" applyBorder="1" applyAlignment="1">
      <alignment horizontal="left" vertical="top" wrapText="1"/>
    </xf>
    <xf numFmtId="0" fontId="7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vertical="center" wrapText="1"/>
    </xf>
    <xf numFmtId="0" fontId="7" fillId="5" borderId="1" xfId="3" applyFont="1" applyFill="1" applyBorder="1" applyAlignment="1">
      <alignment vertical="center" wrapText="1"/>
    </xf>
    <xf numFmtId="0" fontId="6" fillId="6" borderId="1" xfId="3" applyFont="1" applyFill="1" applyBorder="1" applyAlignment="1">
      <alignment horizontal="left" vertical="center" wrapText="1"/>
    </xf>
    <xf numFmtId="0" fontId="6" fillId="5" borderId="1" xfId="3" applyFont="1" applyFill="1" applyBorder="1" applyAlignment="1">
      <alignment horizontal="left" vertical="center" wrapText="1"/>
    </xf>
    <xf numFmtId="0" fontId="6" fillId="5" borderId="1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4" fillId="2" borderId="1" xfId="2" applyFont="1" applyFill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1" fillId="2" borderId="1" xfId="2" applyFont="1" applyFill="1" applyBorder="1" applyAlignment="1">
      <alignment vertical="center" wrapText="1"/>
    </xf>
    <xf numFmtId="0" fontId="7" fillId="0" borderId="1" xfId="3" applyFont="1" applyBorder="1" applyAlignment="1">
      <alignment vertical="center"/>
    </xf>
    <xf numFmtId="0" fontId="13" fillId="0" borderId="1" xfId="11" applyFont="1" applyBorder="1" applyAlignment="1">
      <alignment vertical="top" wrapText="1"/>
    </xf>
    <xf numFmtId="0" fontId="13" fillId="0" borderId="1" xfId="11" applyFont="1" applyBorder="1" applyAlignment="1">
      <alignment horizontal="left" vertical="top" wrapText="1"/>
    </xf>
    <xf numFmtId="0" fontId="14" fillId="0" borderId="1" xfId="12" applyFont="1" applyBorder="1" applyAlignment="1">
      <alignment vertical="center"/>
    </xf>
    <xf numFmtId="0" fontId="13" fillId="0" borderId="1" xfId="12" applyFont="1" applyBorder="1" applyAlignment="1">
      <alignment horizontal="left" vertical="top" wrapText="1"/>
    </xf>
    <xf numFmtId="0" fontId="15" fillId="0" borderId="1" xfId="13" applyFont="1" applyBorder="1" applyAlignment="1">
      <alignment horizontal="left" vertical="center"/>
    </xf>
    <xf numFmtId="0" fontId="12" fillId="0" borderId="1" xfId="13" applyFont="1" applyBorder="1" applyAlignment="1">
      <alignment horizontal="left" vertical="center" wrapText="1"/>
    </xf>
    <xf numFmtId="0" fontId="7" fillId="0" borderId="1" xfId="14" applyFont="1" applyBorder="1" applyAlignment="1">
      <alignment horizontal="left" vertical="center"/>
    </xf>
    <xf numFmtId="0" fontId="13" fillId="0" borderId="1" xfId="15" applyFont="1" applyBorder="1" applyAlignment="1">
      <alignment horizontal="left" vertical="top" wrapText="1"/>
    </xf>
    <xf numFmtId="0" fontId="7" fillId="0" borderId="5" xfId="14" applyFont="1" applyBorder="1" applyAlignment="1">
      <alignment horizontal="left" vertical="center" wrapText="1"/>
    </xf>
    <xf numFmtId="0" fontId="12" fillId="0" borderId="1" xfId="14" applyFont="1" applyBorder="1" applyAlignment="1">
      <alignment horizontal="left" vertical="center"/>
    </xf>
    <xf numFmtId="0" fontId="16" fillId="0" borderId="6" xfId="3" applyFont="1" applyBorder="1" applyAlignment="1">
      <alignment vertical="center"/>
    </xf>
    <xf numFmtId="0" fontId="12" fillId="2" borderId="1" xfId="3" applyFont="1" applyFill="1" applyBorder="1" applyAlignment="1">
      <alignment horizontal="left" vertical="top" wrapText="1"/>
    </xf>
    <xf numFmtId="0" fontId="16" fillId="0" borderId="4" xfId="3" applyFont="1" applyBorder="1" applyAlignment="1">
      <alignment vertical="center"/>
    </xf>
    <xf numFmtId="0" fontId="1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1" xfId="3" applyFont="1" applyBorder="1" applyAlignment="1">
      <alignment horizontal="left" vertical="top" wrapText="1"/>
    </xf>
    <xf numFmtId="0" fontId="11" fillId="2" borderId="1" xfId="3" applyFont="1" applyFill="1" applyBorder="1" applyAlignment="1">
      <alignment vertical="center" wrapText="1"/>
    </xf>
  </cellXfs>
  <cellStyles count="16">
    <cellStyle name="Hyperlink 5 6 3" xfId="1" xr:uid="{D1E0AA84-E4AF-4507-8579-5671CF5AB4F8}"/>
    <cellStyle name="Normal" xfId="0" builtinId="0"/>
    <cellStyle name="Normal - Style1 2 2 2 2" xfId="3" xr:uid="{6412C428-546A-4688-B3A9-CF864451C73F}"/>
    <cellStyle name="Normal - Style1 2 2 2 2 3" xfId="15" xr:uid="{1CC1A35F-5370-457C-BE93-4B87397FC0D9}"/>
    <cellStyle name="Normal 10 7 2" xfId="12" xr:uid="{2C21B188-08BF-480A-89BF-9718E53BCC7E}"/>
    <cellStyle name="Normal 2 2 2 2" xfId="7" xr:uid="{3C5E759C-BD19-47FF-B798-19C3300B45D5}"/>
    <cellStyle name="Normal 2 2 2 2 3" xfId="10" xr:uid="{07AB0E4E-0B4C-4B0C-913C-214A27276B71}"/>
    <cellStyle name="Normal 2 2 2 2 3 2" xfId="13" xr:uid="{AA2524C0-C1ED-4B79-967E-E0374A715B69}"/>
    <cellStyle name="Normal 2 2 2 2 6" xfId="11" xr:uid="{95B0FCBB-AA51-4A62-B284-03907DE803B6}"/>
    <cellStyle name="Normal 27" xfId="14" xr:uid="{5E6A7F19-CC86-4F74-AF1F-FC3B0608511A}"/>
    <cellStyle name="Normal 35 2" xfId="9" xr:uid="{34932345-19C5-4C8E-8E2D-AF0FB6157C57}"/>
    <cellStyle name="Normal 5 2 3" xfId="2" xr:uid="{184A9BF3-D3F0-400A-8564-0F7523A90BE3}"/>
    <cellStyle name="Normal 5 3" xfId="4" xr:uid="{4CA2FC94-CE36-4033-937C-3715C193A51B}"/>
    <cellStyle name="Normal 6 3" xfId="6" xr:uid="{023B16B3-1622-44D4-A923-5224C5A0D320}"/>
    <cellStyle name="Standard" xfId="5" xr:uid="{5B7B20CD-02AA-4851-AA57-21AE2FC49FF8}"/>
    <cellStyle name="常规_Assembly Check-MMU" xfId="8" xr:uid="{B64CBE6C-19F9-4AE3-ADF0-DE9DEC113F1A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minhvt10/Desktop/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vglobal.sharepoint.com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Priyanka/NEXON_EV_Working/Design/EOL/DTC/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technologies-my.sharepoint.com/In/BCM/DID%20list/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Documents%20and%20Settings/dpp239883/Local%20Settings/Temporary%20Internet%20Files/Content.Outlook/W3FP3UYP/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02_Hybrid&amp;EV/07_VinFast_EV/B_Car/02_Documents/04_CustomerDoc/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  <sheetName val="Ref_Ranges"/>
      <sheetName val="Header"/>
    </sheetNames>
    <sheetDataSet>
      <sheetData sheetId="0">
        <row r="1">
          <cell r="A1" t="str">
            <v>Feature</v>
          </cell>
        </row>
      </sheetData>
      <sheetData sheetId="1" refreshError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00</v>
          </cell>
          <cell r="H2" t="str">
            <v>Gen</v>
          </cell>
        </row>
        <row r="3">
          <cell r="H3" t="str">
            <v>Dev</v>
          </cell>
        </row>
        <row r="4">
          <cell r="H4"/>
        </row>
      </sheetData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  <sheetName val="Ref_Range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MSB_LSB</v>
          </cell>
        </row>
        <row r="2">
          <cell r="B2" t="str">
            <v>LSB_MSB</v>
          </cell>
        </row>
        <row r="3">
          <cell r="B3" t="str">
            <v>N/A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1.General"/>
      <sheetName val="Sel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>
        <row r="2">
          <cell r="A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</sheetNames>
    <sheetDataSet>
      <sheetData sheetId="0"/>
      <sheetData sheetId="1"/>
      <sheetData sheetId="2"/>
      <sheetData sheetId="3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  <row r="5">
          <cell r="I5">
            <v>4</v>
          </cell>
        </row>
        <row r="6">
          <cell r="I6">
            <v>5</v>
          </cell>
        </row>
      </sheetData>
      <sheetData sheetId="4" refreshError="1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543C-BB38-417F-B38D-98E173DA4F32}">
  <sheetPr>
    <tabColor rgb="FFFFC000"/>
  </sheetPr>
  <dimension ref="A1:F54"/>
  <sheetViews>
    <sheetView tabSelected="1" topLeftCell="B1" zoomScale="80" zoomScaleNormal="80" zoomScaleSheetLayoutView="100" workbookViewId="0">
      <selection activeCell="F5" sqref="F5"/>
    </sheetView>
  </sheetViews>
  <sheetFormatPr defaultColWidth="8.77734375" defaultRowHeight="13.8"/>
  <cols>
    <col min="1" max="1" width="58.77734375" style="1" customWidth="1"/>
    <col min="2" max="2" width="37.77734375" style="1" customWidth="1"/>
    <col min="3" max="3" width="38.21875" style="1" customWidth="1"/>
    <col min="4" max="4" width="29.77734375" style="1" customWidth="1"/>
    <col min="5" max="5" width="31.77734375" style="1" customWidth="1"/>
    <col min="6" max="6" width="10" style="1" customWidth="1"/>
    <col min="7" max="16384" width="8.77734375" style="2"/>
  </cols>
  <sheetData>
    <row r="1" spans="1:5" s="4" customFormat="1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</row>
    <row r="2" spans="1:5" s="7" customFormat="1">
      <c r="A2" s="6" t="s">
        <v>0</v>
      </c>
      <c r="B2" s="5">
        <v>3</v>
      </c>
      <c r="C2" s="5">
        <v>0</v>
      </c>
      <c r="D2" s="5">
        <v>16</v>
      </c>
      <c r="E2" s="6"/>
    </row>
    <row r="3" spans="1:5" s="7" customFormat="1">
      <c r="A3" s="6" t="s">
        <v>1</v>
      </c>
      <c r="B3" s="5">
        <f>B2+QUOTIENT((D2+C2),8)</f>
        <v>5</v>
      </c>
      <c r="C3" s="5">
        <f>MOD(C2+D2,8)</f>
        <v>0</v>
      </c>
      <c r="D3" s="5">
        <v>56</v>
      </c>
      <c r="E3" s="6"/>
    </row>
    <row r="4" spans="1:5" s="7" customFormat="1">
      <c r="A4" s="8" t="s">
        <v>2</v>
      </c>
      <c r="B4" s="5">
        <v>12</v>
      </c>
      <c r="C4" s="5" t="s">
        <v>3</v>
      </c>
      <c r="D4" s="5" t="s">
        <v>4</v>
      </c>
      <c r="E4" s="9" t="s">
        <v>95</v>
      </c>
    </row>
    <row r="5" spans="1:5" s="11" customFormat="1" ht="262.2">
      <c r="A5" s="8" t="s">
        <v>5</v>
      </c>
      <c r="B5" s="5">
        <v>13</v>
      </c>
      <c r="C5" s="5" t="s">
        <v>3</v>
      </c>
      <c r="D5" s="5">
        <v>8</v>
      </c>
      <c r="E5" s="10" t="s">
        <v>6</v>
      </c>
    </row>
    <row r="6" spans="1:5" s="11" customFormat="1" ht="179.4">
      <c r="A6" s="12" t="s">
        <v>7</v>
      </c>
      <c r="B6" s="5">
        <v>14</v>
      </c>
      <c r="C6" s="5">
        <v>0</v>
      </c>
      <c r="D6" s="5">
        <v>8</v>
      </c>
      <c r="E6" s="13" t="s">
        <v>52</v>
      </c>
    </row>
    <row r="7" spans="1:5" s="11" customFormat="1" ht="345">
      <c r="A7" s="14" t="s">
        <v>8</v>
      </c>
      <c r="B7" s="5">
        <v>15</v>
      </c>
      <c r="C7" s="5">
        <v>0</v>
      </c>
      <c r="D7" s="5">
        <v>8</v>
      </c>
      <c r="E7" s="15" t="s">
        <v>53</v>
      </c>
    </row>
    <row r="8" spans="1:5" s="17" customFormat="1" ht="198.6" customHeight="1">
      <c r="A8" s="14" t="s">
        <v>9</v>
      </c>
      <c r="B8" s="5">
        <v>16</v>
      </c>
      <c r="C8" s="5">
        <v>0</v>
      </c>
      <c r="D8" s="5">
        <v>8</v>
      </c>
      <c r="E8" s="15" t="s">
        <v>54</v>
      </c>
    </row>
    <row r="9" spans="1:5" s="11" customFormat="1" ht="69">
      <c r="A9" s="18" t="s">
        <v>10</v>
      </c>
      <c r="B9" s="16">
        <v>17</v>
      </c>
      <c r="C9" s="16" t="s">
        <v>3</v>
      </c>
      <c r="D9" s="16">
        <v>4</v>
      </c>
      <c r="E9" s="19" t="s">
        <v>55</v>
      </c>
    </row>
    <row r="10" spans="1:5" s="11" customFormat="1" ht="110.4">
      <c r="A10" s="6" t="s">
        <v>11</v>
      </c>
      <c r="B10" s="5">
        <v>17</v>
      </c>
      <c r="C10" s="20">
        <v>4</v>
      </c>
      <c r="D10" s="20">
        <v>4</v>
      </c>
      <c r="E10" s="22" t="s">
        <v>56</v>
      </c>
    </row>
    <row r="11" spans="1:5" s="11" customFormat="1" ht="69">
      <c r="A11" s="23" t="s">
        <v>12</v>
      </c>
      <c r="B11" s="24">
        <v>18</v>
      </c>
      <c r="C11" s="20">
        <v>0</v>
      </c>
      <c r="D11" s="20">
        <v>4</v>
      </c>
      <c r="E11" s="23" t="s">
        <v>57</v>
      </c>
    </row>
    <row r="12" spans="1:5" s="11" customFormat="1" ht="55.2">
      <c r="A12" s="23" t="s">
        <v>13</v>
      </c>
      <c r="B12" s="24">
        <v>18</v>
      </c>
      <c r="C12" s="20">
        <v>4</v>
      </c>
      <c r="D12" s="20">
        <v>4</v>
      </c>
      <c r="E12" s="25" t="s">
        <v>58</v>
      </c>
    </row>
    <row r="13" spans="1:5" s="11" customFormat="1" ht="82.8">
      <c r="A13" s="21" t="s">
        <v>14</v>
      </c>
      <c r="B13" s="24">
        <v>19</v>
      </c>
      <c r="C13" s="20">
        <v>0</v>
      </c>
      <c r="D13" s="20">
        <v>4</v>
      </c>
      <c r="E13" s="25" t="s">
        <v>59</v>
      </c>
    </row>
    <row r="14" spans="1:5" s="11" customFormat="1" ht="69">
      <c r="A14" s="23" t="s">
        <v>15</v>
      </c>
      <c r="B14" s="24">
        <v>19</v>
      </c>
      <c r="C14" s="20">
        <v>4</v>
      </c>
      <c r="D14" s="20">
        <v>4</v>
      </c>
      <c r="E14" s="25" t="s">
        <v>60</v>
      </c>
    </row>
    <row r="15" spans="1:5" s="11" customFormat="1" ht="69">
      <c r="A15" s="26" t="s">
        <v>16</v>
      </c>
      <c r="B15" s="24">
        <v>20</v>
      </c>
      <c r="C15" s="20">
        <v>0</v>
      </c>
      <c r="D15" s="20">
        <v>4</v>
      </c>
      <c r="E15" s="25" t="s">
        <v>61</v>
      </c>
    </row>
    <row r="16" spans="1:5" s="11" customFormat="1" ht="69">
      <c r="A16" s="27" t="s">
        <v>17</v>
      </c>
      <c r="B16" s="24">
        <v>20</v>
      </c>
      <c r="C16" s="20">
        <v>4</v>
      </c>
      <c r="D16" s="20">
        <v>4</v>
      </c>
      <c r="E16" s="25" t="s">
        <v>62</v>
      </c>
    </row>
    <row r="17" spans="1:5" s="11" customFormat="1" ht="82.8">
      <c r="A17" s="28" t="s">
        <v>18</v>
      </c>
      <c r="B17" s="29">
        <v>21</v>
      </c>
      <c r="C17" s="20">
        <v>0</v>
      </c>
      <c r="D17" s="20">
        <v>4</v>
      </c>
      <c r="E17" s="25" t="s">
        <v>63</v>
      </c>
    </row>
    <row r="18" spans="1:5" s="11" customFormat="1" ht="69">
      <c r="A18" s="28" t="s">
        <v>19</v>
      </c>
      <c r="B18" s="29">
        <v>21</v>
      </c>
      <c r="C18" s="20">
        <v>4</v>
      </c>
      <c r="D18" s="20">
        <v>4</v>
      </c>
      <c r="E18" s="25" t="s">
        <v>64</v>
      </c>
    </row>
    <row r="19" spans="1:5" s="11" customFormat="1" ht="69">
      <c r="A19" s="30" t="s">
        <v>20</v>
      </c>
      <c r="B19" s="29">
        <v>22</v>
      </c>
      <c r="C19" s="20">
        <v>0</v>
      </c>
      <c r="D19" s="20">
        <v>4</v>
      </c>
      <c r="E19" s="25" t="s">
        <v>65</v>
      </c>
    </row>
    <row r="20" spans="1:5" s="11" customFormat="1" ht="69">
      <c r="A20" s="30" t="s">
        <v>21</v>
      </c>
      <c r="B20" s="29">
        <v>22</v>
      </c>
      <c r="C20" s="20">
        <v>4</v>
      </c>
      <c r="D20" s="20">
        <v>4</v>
      </c>
      <c r="E20" s="25" t="s">
        <v>66</v>
      </c>
    </row>
    <row r="21" spans="1:5" s="11" customFormat="1" ht="143.55000000000001" customHeight="1">
      <c r="A21" s="53" t="s">
        <v>94</v>
      </c>
      <c r="B21" s="31">
        <v>23</v>
      </c>
      <c r="C21" s="32">
        <v>0</v>
      </c>
      <c r="D21" s="32">
        <v>4</v>
      </c>
      <c r="E21" s="33" t="s">
        <v>67</v>
      </c>
    </row>
    <row r="22" spans="1:5" s="11" customFormat="1" ht="84" customHeight="1">
      <c r="A22" s="53" t="s">
        <v>93</v>
      </c>
      <c r="B22" s="31">
        <v>23</v>
      </c>
      <c r="C22" s="32">
        <v>4</v>
      </c>
      <c r="D22" s="32">
        <v>4</v>
      </c>
      <c r="E22" s="34" t="s">
        <v>68</v>
      </c>
    </row>
    <row r="23" spans="1:5" s="11" customFormat="1" ht="81.599999999999994" customHeight="1">
      <c r="A23" s="53" t="s">
        <v>92</v>
      </c>
      <c r="B23" s="31">
        <v>24</v>
      </c>
      <c r="C23" s="32">
        <v>0</v>
      </c>
      <c r="D23" s="32">
        <v>4</v>
      </c>
      <c r="E23" s="34" t="s">
        <v>68</v>
      </c>
    </row>
    <row r="24" spans="1:5" s="11" customFormat="1" ht="113.55" customHeight="1">
      <c r="A24" s="53" t="s">
        <v>91</v>
      </c>
      <c r="B24" s="31">
        <v>24</v>
      </c>
      <c r="C24" s="32">
        <v>4</v>
      </c>
      <c r="D24" s="32">
        <v>4</v>
      </c>
      <c r="E24" s="35" t="s">
        <v>69</v>
      </c>
    </row>
    <row r="25" spans="1:5" s="11" customFormat="1" ht="96.6">
      <c r="A25" s="30" t="s">
        <v>22</v>
      </c>
      <c r="B25" s="29">
        <v>25</v>
      </c>
      <c r="C25" s="20">
        <v>0</v>
      </c>
      <c r="D25" s="20">
        <v>4</v>
      </c>
      <c r="E25" s="34" t="s">
        <v>70</v>
      </c>
    </row>
    <row r="26" spans="1:5" s="11" customFormat="1" ht="69">
      <c r="A26" s="36" t="s">
        <v>23</v>
      </c>
      <c r="B26" s="29">
        <v>25</v>
      </c>
      <c r="C26" s="32">
        <v>4</v>
      </c>
      <c r="D26" s="32">
        <v>4</v>
      </c>
      <c r="E26" s="34" t="s">
        <v>68</v>
      </c>
    </row>
    <row r="27" spans="1:5" s="11" customFormat="1" ht="66">
      <c r="A27" s="37" t="s">
        <v>24</v>
      </c>
      <c r="B27" s="31">
        <v>26</v>
      </c>
      <c r="C27" s="32">
        <v>0</v>
      </c>
      <c r="D27" s="32">
        <v>4</v>
      </c>
      <c r="E27" s="38" t="s">
        <v>68</v>
      </c>
    </row>
    <row r="28" spans="1:5" s="11" customFormat="1" ht="66">
      <c r="A28" s="37" t="s">
        <v>25</v>
      </c>
      <c r="B28" s="31">
        <v>26</v>
      </c>
      <c r="C28" s="32">
        <v>4</v>
      </c>
      <c r="D28" s="32">
        <v>4</v>
      </c>
      <c r="E28" s="38" t="s">
        <v>68</v>
      </c>
    </row>
    <row r="29" spans="1:5" s="11" customFormat="1" ht="66">
      <c r="A29" s="37" t="s">
        <v>26</v>
      </c>
      <c r="B29" s="31">
        <v>27</v>
      </c>
      <c r="C29" s="32">
        <v>0</v>
      </c>
      <c r="D29" s="32">
        <v>4</v>
      </c>
      <c r="E29" s="38" t="s">
        <v>68</v>
      </c>
    </row>
    <row r="30" spans="1:5" s="11" customFormat="1" ht="79.2">
      <c r="A30" s="39" t="s">
        <v>27</v>
      </c>
      <c r="B30" s="31">
        <v>27</v>
      </c>
      <c r="C30" s="32">
        <v>4</v>
      </c>
      <c r="D30" s="32">
        <v>4</v>
      </c>
      <c r="E30" s="40" t="s">
        <v>71</v>
      </c>
    </row>
    <row r="31" spans="1:5" s="11" customFormat="1" ht="79.2">
      <c r="A31" s="39" t="s">
        <v>28</v>
      </c>
      <c r="B31" s="31">
        <v>28</v>
      </c>
      <c r="C31" s="32">
        <v>0</v>
      </c>
      <c r="D31" s="32">
        <v>4</v>
      </c>
      <c r="E31" s="40" t="s">
        <v>72</v>
      </c>
    </row>
    <row r="32" spans="1:5" s="11" customFormat="1" ht="66">
      <c r="A32" s="39" t="s">
        <v>29</v>
      </c>
      <c r="B32" s="31">
        <v>28</v>
      </c>
      <c r="C32" s="32">
        <v>4</v>
      </c>
      <c r="D32" s="32">
        <v>4</v>
      </c>
      <c r="E32" s="40" t="s">
        <v>73</v>
      </c>
    </row>
    <row r="33" spans="1:5" s="11" customFormat="1" ht="96.6">
      <c r="A33" s="41" t="s">
        <v>30</v>
      </c>
      <c r="B33" s="31">
        <v>29</v>
      </c>
      <c r="C33" s="32">
        <v>0</v>
      </c>
      <c r="D33" s="32">
        <v>4</v>
      </c>
      <c r="E33" s="42" t="s">
        <v>74</v>
      </c>
    </row>
    <row r="34" spans="1:5" s="11" customFormat="1" ht="165.6">
      <c r="A34" s="42" t="s">
        <v>31</v>
      </c>
      <c r="B34" s="31">
        <v>29</v>
      </c>
      <c r="C34" s="32">
        <v>4</v>
      </c>
      <c r="D34" s="32">
        <v>4</v>
      </c>
      <c r="E34" s="42" t="s">
        <v>75</v>
      </c>
    </row>
    <row r="35" spans="1:5" s="11" customFormat="1" ht="66">
      <c r="A35" s="43" t="s">
        <v>32</v>
      </c>
      <c r="B35" s="31">
        <v>30</v>
      </c>
      <c r="C35" s="32">
        <v>0</v>
      </c>
      <c r="D35" s="32">
        <v>4</v>
      </c>
      <c r="E35" s="44" t="s">
        <v>68</v>
      </c>
    </row>
    <row r="36" spans="1:5" s="11" customFormat="1" ht="66">
      <c r="A36" s="43" t="s">
        <v>33</v>
      </c>
      <c r="B36" s="31">
        <v>30</v>
      </c>
      <c r="C36" s="32">
        <v>4</v>
      </c>
      <c r="D36" s="32">
        <v>4</v>
      </c>
      <c r="E36" s="44" t="s">
        <v>68</v>
      </c>
    </row>
    <row r="37" spans="1:5" s="11" customFormat="1" ht="169.95" customHeight="1">
      <c r="A37" s="43" t="s">
        <v>34</v>
      </c>
      <c r="B37" s="31">
        <v>31</v>
      </c>
      <c r="C37" s="32">
        <v>0</v>
      </c>
      <c r="D37" s="32">
        <v>4</v>
      </c>
      <c r="E37" s="45" t="s">
        <v>76</v>
      </c>
    </row>
    <row r="38" spans="1:5" s="11" customFormat="1" ht="79.95" customHeight="1">
      <c r="A38" s="46" t="s">
        <v>35</v>
      </c>
      <c r="B38" s="31">
        <v>31</v>
      </c>
      <c r="C38" s="32">
        <v>4</v>
      </c>
      <c r="D38" s="32">
        <v>4</v>
      </c>
      <c r="E38" s="44" t="s">
        <v>68</v>
      </c>
    </row>
    <row r="39" spans="1:5" s="11" customFormat="1" ht="66">
      <c r="A39" s="46" t="s">
        <v>36</v>
      </c>
      <c r="B39" s="31">
        <v>32</v>
      </c>
      <c r="C39" s="32">
        <v>0</v>
      </c>
      <c r="D39" s="32">
        <v>4</v>
      </c>
      <c r="E39" s="44" t="s">
        <v>68</v>
      </c>
    </row>
    <row r="40" spans="1:5" s="11" customFormat="1" ht="66">
      <c r="A40" s="43" t="s">
        <v>37</v>
      </c>
      <c r="B40" s="31">
        <v>32</v>
      </c>
      <c r="C40" s="32">
        <v>4</v>
      </c>
      <c r="D40" s="32">
        <v>4</v>
      </c>
      <c r="E40" s="44" t="s">
        <v>68</v>
      </c>
    </row>
    <row r="41" spans="1:5" s="11" customFormat="1" ht="66">
      <c r="A41" s="36" t="s">
        <v>38</v>
      </c>
      <c r="B41" s="31">
        <v>33</v>
      </c>
      <c r="C41" s="32">
        <v>0</v>
      </c>
      <c r="D41" s="32">
        <v>4</v>
      </c>
      <c r="E41" s="44" t="s">
        <v>68</v>
      </c>
    </row>
    <row r="42" spans="1:5" s="11" customFormat="1" ht="66">
      <c r="A42" s="36" t="s">
        <v>39</v>
      </c>
      <c r="B42" s="31">
        <v>33</v>
      </c>
      <c r="C42" s="32">
        <v>4</v>
      </c>
      <c r="D42" s="32">
        <v>4</v>
      </c>
      <c r="E42" s="44" t="s">
        <v>77</v>
      </c>
    </row>
    <row r="43" spans="1:5" s="11" customFormat="1" ht="83.55" customHeight="1">
      <c r="A43" s="36" t="s">
        <v>40</v>
      </c>
      <c r="B43" s="31">
        <v>34</v>
      </c>
      <c r="C43" s="32">
        <v>0</v>
      </c>
      <c r="D43" s="32">
        <v>4</v>
      </c>
      <c r="E43" s="44" t="s">
        <v>77</v>
      </c>
    </row>
    <row r="44" spans="1:5" s="11" customFormat="1" ht="83.55" customHeight="1">
      <c r="A44" s="36" t="s">
        <v>41</v>
      </c>
      <c r="B44" s="31">
        <v>34</v>
      </c>
      <c r="C44" s="32">
        <v>4</v>
      </c>
      <c r="D44" s="32">
        <v>4</v>
      </c>
      <c r="E44" s="44" t="s">
        <v>68</v>
      </c>
    </row>
    <row r="45" spans="1:5" s="11" customFormat="1" ht="83.55" customHeight="1">
      <c r="A45" s="36" t="s">
        <v>42</v>
      </c>
      <c r="B45" s="31">
        <v>35</v>
      </c>
      <c r="C45" s="32">
        <v>0</v>
      </c>
      <c r="D45" s="32">
        <v>4</v>
      </c>
      <c r="E45" s="44" t="s">
        <v>68</v>
      </c>
    </row>
    <row r="46" spans="1:5" s="11" customFormat="1" ht="86.1" customHeight="1">
      <c r="A46" s="18" t="s">
        <v>43</v>
      </c>
      <c r="B46" s="16">
        <v>37</v>
      </c>
      <c r="C46" s="16">
        <v>0</v>
      </c>
      <c r="D46" s="16">
        <v>4</v>
      </c>
      <c r="E46" s="25" t="s">
        <v>78</v>
      </c>
    </row>
    <row r="47" spans="1:5" s="11" customFormat="1" ht="75.599999999999994" customHeight="1">
      <c r="A47" s="18" t="s">
        <v>44</v>
      </c>
      <c r="B47" s="16">
        <v>37</v>
      </c>
      <c r="C47" s="20">
        <v>4</v>
      </c>
      <c r="D47" s="20">
        <v>4</v>
      </c>
      <c r="E47" s="25" t="s">
        <v>79</v>
      </c>
    </row>
    <row r="48" spans="1:5" s="11" customFormat="1" ht="83.7" customHeight="1">
      <c r="A48" s="18" t="s">
        <v>45</v>
      </c>
      <c r="B48" s="16">
        <v>38</v>
      </c>
      <c r="C48" s="16">
        <v>0</v>
      </c>
      <c r="D48" s="16">
        <v>4</v>
      </c>
      <c r="E48" s="25" t="s">
        <v>80</v>
      </c>
    </row>
    <row r="49" spans="1:5" s="11" customFormat="1" ht="80.099999999999994" customHeight="1">
      <c r="A49" s="18" t="s">
        <v>46</v>
      </c>
      <c r="B49" s="16">
        <v>38</v>
      </c>
      <c r="C49" s="20">
        <v>4</v>
      </c>
      <c r="D49" s="20">
        <v>4</v>
      </c>
      <c r="E49" s="25" t="s">
        <v>81</v>
      </c>
    </row>
    <row r="50" spans="1:5" s="11" customFormat="1" ht="118.95" customHeight="1">
      <c r="A50" s="47" t="s">
        <v>47</v>
      </c>
      <c r="B50" s="16">
        <v>39</v>
      </c>
      <c r="C50" s="16">
        <v>0</v>
      </c>
      <c r="D50" s="16">
        <v>4</v>
      </c>
      <c r="E50" s="48" t="s">
        <v>82</v>
      </c>
    </row>
    <row r="51" spans="1:5" s="11" customFormat="1" ht="75.599999999999994" customHeight="1">
      <c r="A51" s="47" t="s">
        <v>48</v>
      </c>
      <c r="B51" s="16">
        <v>39</v>
      </c>
      <c r="C51" s="20">
        <v>4</v>
      </c>
      <c r="D51" s="20">
        <v>4</v>
      </c>
      <c r="E51" s="19" t="s">
        <v>83</v>
      </c>
    </row>
    <row r="52" spans="1:5" s="11" customFormat="1" ht="86.1" customHeight="1">
      <c r="A52" s="49" t="s">
        <v>49</v>
      </c>
      <c r="B52" s="16">
        <v>40</v>
      </c>
      <c r="C52" s="16">
        <v>0</v>
      </c>
      <c r="D52" s="16">
        <v>4</v>
      </c>
      <c r="E52" s="19" t="s">
        <v>84</v>
      </c>
    </row>
    <row r="53" spans="1:5" s="11" customFormat="1" ht="86.1" customHeight="1">
      <c r="A53" s="50" t="s">
        <v>50</v>
      </c>
      <c r="B53" s="16">
        <v>40</v>
      </c>
      <c r="C53" s="16">
        <v>4</v>
      </c>
      <c r="D53" s="16">
        <v>4</v>
      </c>
      <c r="E53" s="19" t="s">
        <v>85</v>
      </c>
    </row>
    <row r="54" spans="1:5" s="11" customFormat="1" ht="52.2" customHeight="1">
      <c r="A54" s="51" t="s">
        <v>51</v>
      </c>
      <c r="B54" s="32">
        <v>66</v>
      </c>
      <c r="C54" s="32">
        <v>0</v>
      </c>
      <c r="D54" s="32">
        <v>8</v>
      </c>
      <c r="E54" s="52"/>
    </row>
  </sheetData>
  <conditionalFormatting sqref="A7">
    <cfRule type="duplicateValues" dxfId="53" priority="32"/>
    <cfRule type="duplicateValues" dxfId="52" priority="31"/>
    <cfRule type="duplicateValues" dxfId="51" priority="35"/>
    <cfRule type="duplicateValues" dxfId="50" priority="34"/>
    <cfRule type="duplicateValues" dxfId="49" priority="33"/>
    <cfRule type="duplicateValues" dxfId="48" priority="30"/>
    <cfRule type="duplicateValues" dxfId="47" priority="29"/>
  </conditionalFormatting>
  <conditionalFormatting sqref="A8">
    <cfRule type="duplicateValues" dxfId="46" priority="45"/>
    <cfRule type="duplicateValues" dxfId="45" priority="37"/>
    <cfRule type="duplicateValues" dxfId="44" priority="38"/>
    <cfRule type="duplicateValues" dxfId="43" priority="39"/>
    <cfRule type="duplicateValues" dxfId="42" priority="40"/>
    <cfRule type="duplicateValues" dxfId="41" priority="41"/>
    <cfRule type="duplicateValues" dxfId="40" priority="42"/>
    <cfRule type="duplicateValues" dxfId="39" priority="43"/>
    <cfRule type="duplicateValues" dxfId="38" priority="44"/>
  </conditionalFormatting>
  <conditionalFormatting sqref="A9"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2"/>
    <cfRule type="duplicateValues" dxfId="31" priority="21"/>
  </conditionalFormatting>
  <conditionalFormatting sqref="A11:A12">
    <cfRule type="duplicateValues" dxfId="30" priority="20"/>
  </conditionalFormatting>
  <conditionalFormatting sqref="A13:A14">
    <cfRule type="duplicateValues" dxfId="29" priority="19"/>
  </conditionalFormatting>
  <conditionalFormatting sqref="A15">
    <cfRule type="duplicateValues" dxfId="28" priority="18"/>
  </conditionalFormatting>
  <conditionalFormatting sqref="A17">
    <cfRule type="duplicateValues" dxfId="27" priority="17"/>
  </conditionalFormatting>
  <conditionalFormatting sqref="A18">
    <cfRule type="duplicateValues" dxfId="26" priority="16"/>
  </conditionalFormatting>
  <conditionalFormatting sqref="A27:A28">
    <cfRule type="duplicateValues" dxfId="25" priority="15"/>
    <cfRule type="duplicateValues" dxfId="24" priority="14"/>
    <cfRule type="duplicateValues" dxfId="23" priority="12"/>
    <cfRule type="duplicateValues" dxfId="22" priority="11"/>
    <cfRule type="duplicateValues" dxfId="21" priority="10"/>
    <cfRule type="duplicateValues" dxfId="20" priority="13"/>
  </conditionalFormatting>
  <conditionalFormatting sqref="A29">
    <cfRule type="duplicateValues" dxfId="19" priority="4"/>
    <cfRule type="duplicateValues" dxfId="18" priority="5"/>
    <cfRule type="duplicateValues" dxfId="17" priority="6"/>
    <cfRule type="duplicateValues" dxfId="16" priority="8"/>
    <cfRule type="duplicateValues" dxfId="15" priority="9"/>
    <cfRule type="duplicateValues" dxfId="14" priority="7"/>
  </conditionalFormatting>
  <conditionalFormatting sqref="A33:A40">
    <cfRule type="duplicateValues" dxfId="13" priority="53"/>
  </conditionalFormatting>
  <conditionalFormatting sqref="A41:A44 A19:A26">
    <cfRule type="duplicateValues" dxfId="12" priority="54"/>
  </conditionalFormatting>
  <conditionalFormatting sqref="A45">
    <cfRule type="duplicateValues" dxfId="11" priority="1"/>
    <cfRule type="duplicateValues" dxfId="10" priority="3"/>
    <cfRule type="duplicateValues" dxfId="9" priority="2"/>
  </conditionalFormatting>
  <conditionalFormatting sqref="A46:A49">
    <cfRule type="duplicateValues" dxfId="8" priority="46"/>
    <cfRule type="duplicateValues" dxfId="7" priority="47"/>
    <cfRule type="duplicateValues" dxfId="6" priority="48"/>
    <cfRule type="duplicateValues" dxfId="5" priority="49"/>
    <cfRule type="duplicateValues" dxfId="4" priority="50"/>
    <cfRule type="duplicateValues" dxfId="3" priority="51"/>
    <cfRule type="duplicateValues" dxfId="2" priority="52"/>
  </conditionalFormatting>
  <conditionalFormatting sqref="A55:A1048576 A1:A44 A46:A53">
    <cfRule type="duplicateValues" dxfId="1" priority="56"/>
  </conditionalFormatting>
  <conditionalFormatting sqref="A55:A1048576 A33:A44 A1:A29 A46:A53">
    <cfRule type="duplicateValues" dxfId="0" priority="55"/>
  </conditionalFormatting>
  <pageMargins left="0.75" right="0.75" top="1" bottom="1" header="0.51111111111111107" footer="0.5111111111111110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2026-08-11T07:51:41Z</dcterms:created>
  <dcterms:modified xsi:type="dcterms:W3CDTF">2026-08-12T08:30:05Z</dcterms:modified>
</cp:coreProperties>
</file>