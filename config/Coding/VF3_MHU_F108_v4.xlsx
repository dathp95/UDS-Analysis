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8_{566D6B16-84F7-404A-80FE-D6737BEB6AEE}" xr6:coauthVersionLast="47" xr6:coauthVersionMax="47" xr10:uidLastSave="{00000000-0000-0000-0000-000000000000}"/>
  <bookViews>
    <workbookView xWindow="-108" yWindow="-108" windowWidth="23256" windowHeight="12456" xr2:uid="{E4BBA423-BD1E-4264-8625-36526A9100A3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 localSheetId="0">#REF!</definedName>
    <definedName name="A">#REF!</definedName>
    <definedName name="aaaa">[1]Selections!$A$2:$A$103</definedName>
    <definedName name="aaab">[1]Selections!$A$2:$A$103</definedName>
    <definedName name="aac">[1]Selections!$A$2:$A$103</definedName>
    <definedName name="Access_Attribute">[1]Selections!$H$2:$H$4</definedName>
    <definedName name="Alert_Behaviour">[1]Selections!$G$2:$G$7</definedName>
    <definedName name="Area">[2]Selections!$I$1:$I$2</definedName>
    <definedName name="asas" localSheetId="0">#REF!</definedName>
    <definedName name="asas">#REF!</definedName>
    <definedName name="Audience">[2]Selections!$C$1:$C$7</definedName>
    <definedName name="Check_Per_Cycle">[1]Selections!$J$2:$J$4</definedName>
    <definedName name="Decode_Type">[2]Selections!$F$1:$F$9</definedName>
    <definedName name="DID_Group">[2]Selections!$E$1:$E$6</definedName>
    <definedName name="DTC_Class">[1]Selections!$F$2:$F$7</definedName>
    <definedName name="ECUDID1">[3]Selections!$I$1:$I$2</definedName>
    <definedName name="FaultList1">[4]Selections!$H$2:$H$4</definedName>
    <definedName name="Hex_LB">[5]Selections!$A$2:$A$103</definedName>
    <definedName name="Implementation">[2]Selections!$I$1:$I$2</definedName>
    <definedName name="Memory">[2]Selections!$G$1:$G$4</definedName>
    <definedName name="MSB_LSB">[2]Selections!$B$1:$B$3</definedName>
    <definedName name="MSB_LSB_List">[6]Selections!$B$1:$B$3</definedName>
    <definedName name="no" localSheetId="0">#REF!</definedName>
    <definedName name="no">#REF!</definedName>
    <definedName name="No_Yes">[2]Selections!$A$1:$A$3</definedName>
    <definedName name="P2_DIDs">[7]Ref_Ranges!$AI$2:$AI$3</definedName>
    <definedName name="P2_ECUPins">OFFSET([8]Ref_Ranges!$N$1,1,0,IF(MATCH("*",[8]Ref_Ranges!$N:$N,-1)&gt;2,MATCH("*",[8]Ref_Ranges!$N:$N,-1),3)-1,1)</definedName>
    <definedName name="P2_ECUType">[7]Header!$D$139:$D$150</definedName>
    <definedName name="P2_ExtDataList">[7]Ref_Ranges!$AE$2:$AE$4</definedName>
    <definedName name="P2_LSDIDList">[7]Ref_Ranges!$X$2:$X$4</definedName>
    <definedName name="P2_SSD3SymtomValidator">[7]Ref_Ranges!$AK$2:$AK$3</definedName>
    <definedName name="P2_Symptom_Validator">OFFSET([7]Ref_Ranges!$P$1,1,0,IF(MATCH("*",[7]Ref_Ranges!$P:$P,-1)&gt;2,MATCH("*",[7]Ref_Ranges!$P:$P,-1),3)-1,1)</definedName>
    <definedName name="PBCU_Codes">[1]Selections!$D$2:$D$5</definedName>
    <definedName name="Priority">[1]Selections!$I$2:$I$6</definedName>
    <definedName name="R_IO_W">[2]Selections!$D$1:$D$9</definedName>
    <definedName name="Req_5" localSheetId="0">'[9]1.General'!#REF!</definedName>
    <definedName name="Req_5">'[10]1.General'!#REF!</definedName>
    <definedName name="s">[11]Selections!$I$2:$I$6</definedName>
    <definedName name="Security_Required">[2]Selections!$H$1:$H$3</definedName>
    <definedName name="Text_LB">[1]Selections!$B$2:$B$103</definedName>
    <definedName name="xxa1">[12]DataBlock!#REF!</definedName>
    <definedName name="xxx1">[12]DataBlock!#REF!</definedName>
    <definedName name="yaa1">[12]DataBlock!#REF!</definedName>
    <definedName name="yes" localSheetId="0">#REF!</definedName>
    <definedName name="yes">#REF!</definedName>
    <definedName name="yes_no">[1]Selections!$E$2:$E$3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C3" i="1"/>
</calcChain>
</file>

<file path=xl/sharedStrings.xml><?xml version="1.0" encoding="utf-8"?>
<sst xmlns="http://schemas.openxmlformats.org/spreadsheetml/2006/main" count="99" uniqueCount="89">
  <si>
    <t>DID Number (hex)</t>
  </si>
  <si>
    <t>0xF108</t>
  </si>
  <si>
    <t>Format Byte</t>
  </si>
  <si>
    <t>type=identical</t>
  </si>
  <si>
    <t>Short VIN</t>
  </si>
  <si>
    <t>Language</t>
  </si>
  <si>
    <t>Sale area</t>
  </si>
  <si>
    <t>AECFactor</t>
  </si>
  <si>
    <t>Fog Light</t>
  </si>
  <si>
    <t>Emergency Call</t>
  </si>
  <si>
    <t>PnC (Plug and Charge)</t>
  </si>
  <si>
    <t>Welcome light</t>
  </si>
  <si>
    <t>Wireless Charger</t>
  </si>
  <si>
    <t>Side Mirror Memory</t>
  </si>
  <si>
    <t>Intersection Assist</t>
  </si>
  <si>
    <t>coublomb factor</t>
  </si>
  <si>
    <t>Platform</t>
  </si>
  <si>
    <t>Vehicle Type</t>
  </si>
  <si>
    <t>Reserve</t>
  </si>
  <si>
    <t>HUD</t>
  </si>
  <si>
    <t>Ionizer</t>
  </si>
  <si>
    <t>LHD/RHD</t>
  </si>
  <si>
    <t>Child Presence Detection</t>
  </si>
  <si>
    <t>Roof Type</t>
  </si>
  <si>
    <t>Rear Wireless Charger (RWLC)</t>
  </si>
  <si>
    <t>Air Condition</t>
  </si>
  <si>
    <t>Keyless start/stop with brake on BEV</t>
  </si>
  <si>
    <t>Keyless entry</t>
  </si>
  <si>
    <t>Outside rear view mirror heating</t>
  </si>
  <si>
    <t>Tire Size</t>
  </si>
  <si>
    <t>Vehicle Name</t>
  </si>
  <si>
    <t>Lane Departure Warning</t>
  </si>
  <si>
    <t>Lane Keeping Assist</t>
  </si>
  <si>
    <t>FOTA support</t>
  </si>
  <si>
    <t>Door opening Warning oncoming traffic</t>
  </si>
  <si>
    <t>Radio support</t>
  </si>
  <si>
    <t>Trailer Module (TRM）</t>
  </si>
  <si>
    <t>Electric Tail Gate</t>
  </si>
  <si>
    <t>Foot Kick Sensor (FKS)</t>
  </si>
  <si>
    <t>Driver Seat Heated</t>
  </si>
  <si>
    <t>Driver Seat Ventilation</t>
  </si>
  <si>
    <t xml:space="preserve">Front Pass. seat Ventilation
</t>
  </si>
  <si>
    <t>Front Pass. seat Heated</t>
  </si>
  <si>
    <t>HV battery threshold for pet mode</t>
  </si>
  <si>
    <t>SpeedometerFactor</t>
  </si>
  <si>
    <t>Delta  display speed and true speed</t>
  </si>
  <si>
    <t>HV battery threshold for camp mode</t>
  </si>
  <si>
    <t>Check compliant with previous CDS version</t>
  </si>
  <si>
    <t>CRC</t>
  </si>
  <si>
    <t xml:space="preserve">
0x0=Unsupported
0x1 = VN
0x2 = US
0x3 = Europe
0x4 = Canada
0x5 = Germany
0x6 = France
0x7 = Netherland
0x8 = Australia
0x9 = Thailand
    =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</si>
  <si>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Fog Light
0x2=Front
0x3=Front and Rear
0x4=Rear Fog light only
0xF=Invalid</t>
  </si>
  <si>
    <t xml:space="preserve">
0x0=Unsupported 
0x1=Without Emergency Calls
0x2=with Emergency Calls
0x3=Invalid</t>
  </si>
  <si>
    <t xml:space="preserve">
0x0=Unsupported 
0x1=without PnC
0x2=with PnC
0x3=Invalid</t>
  </si>
  <si>
    <t xml:space="preserve">
0x0=Unsupported
0x1=Without
0x2=With
0x3=invalid</t>
  </si>
  <si>
    <t xml:space="preserve">
0x0=Unsupported
0x1=With WLC
0x2=Without WLC
0x3=invalid</t>
  </si>
  <si>
    <t xml:space="preserve">
0x0=Unsupported
0x1=Without Side Mirror Memory
0x2=With Side Mirror Memory
0x3=Invalid</t>
  </si>
  <si>
    <t xml:space="preserve">
0x0=Unsupported
0x1=Without Intersection Assist
0x2=With Intersection Assist
0x3=Invalid</t>
  </si>
  <si>
    <t xml:space="preserve">
0x0=Unsupported
0x1=SUV
0x2=SEDAN
0x3=eBUS
0x4=Mini-Car
0xF=Invalid</t>
  </si>
  <si>
    <t xml:space="preserve">
0x0=Unsupported
0x1=Without HUD
0x2=With HUD
0x3=invalid</t>
  </si>
  <si>
    <t xml:space="preserve">
0x0=without
0x1=with
0x3=Invalid</t>
  </si>
  <si>
    <t xml:space="preserve">
0x0=Unsupported
0x1=Left hand drive
0x2=Right hand drive
0x3=Invalid</t>
  </si>
  <si>
    <t xml:space="preserve">
0x0=Unsupported
0x1=Without CPD
0x2=With CPD
0x3=invalid</t>
  </si>
  <si>
    <t xml:space="preserve">
0x0=Unsupported
0x1=Panoramic Roof
0x2=Steel Roof
0x3=invalid</t>
  </si>
  <si>
    <t xml:space="preserve">
0x0=Unsupported
0x1=without RWLC
0x2=with RWLC
0x3=Invalid</t>
  </si>
  <si>
    <t xml:space="preserve">
0x0=Unsupported
0x1=2  1/2 zone automatic
0x2=2 zone automatic
0x3=3 zone automatic
0x4=1 zone automatic
0x5= 1 zone Manual
0xF=Invalid</t>
  </si>
  <si>
    <t xml:space="preserve">
0x0=Unsupported
0x1=Without Keyless start/stop with brake on BEV
0x2=With Keyless start/stop with brake on BEV
0x3=Invalid</t>
  </si>
  <si>
    <t xml:space="preserve">
0x0=Unsupported
0x1=Without Keyless entry
0x2=With Keyless entry
0x3=Invalid</t>
  </si>
  <si>
    <t xml:space="preserve">
0x0=Unsupported
0x1=Without Outside rear view mirror heating
0x2=With Outside rear view mirror heating
0x3=Invalid</t>
  </si>
  <si>
    <t xml:space="preserve">
0x0=Unsupported
0x1=16"
0x2=17"
0x3=18"
0x4=19"
0x5=20"
0x6=21"
0x7= 22"
0xFF=Invalid</t>
  </si>
  <si>
    <t xml:space="preserve">
0x0=Unsupported
0x1=VF8/VF35
0x2=VFe34
0x3=VF9/VF36
0x4=VF6/VF33
0x5=VF7/VF34
0x6=VF5/VF32
0x7=VF3
0xFF=Invalid</t>
  </si>
  <si>
    <t xml:space="preserve">
0x0=Unsupported 
0x1=Without Lane Departure Warning
0x2=With Lane Departure Warning
0x3=invalid</t>
  </si>
  <si>
    <t xml:space="preserve">
0x0=Unsupported 
0x1=Without Lane Keeping Assist
0x2=With Lane Keeping Assist
0x3=invalid</t>
  </si>
  <si>
    <t xml:space="preserve">
0x0=Unsupported 
0x1=Without FOTA
0x2=with FOTA
0x3=Invalid</t>
  </si>
  <si>
    <t xml:space="preserve">
0x0=Unsupported 
0x1=Without Door opening Warning oncoming traffic
0x2=With Door opening Warning oncoming traffic
0x3=invalid</t>
  </si>
  <si>
    <t xml:space="preserve">
0x0=Unsupported 
0x1=Without Radio Support
0x2=with Radio Support
0x3=Invalid</t>
  </si>
  <si>
    <t xml:space="preserve">
0x0=Unsupported
0x1=with TRM
0x2=without TRM
0x3=Invalid</t>
  </si>
  <si>
    <t xml:space="preserve">
0x0=Unsupported
0x1=Without Electric Tail Gate
0x2=With Electric Tail Gate
0x3=Invalid</t>
  </si>
  <si>
    <t xml:space="preserve">
0x0=Unsupported
0x1=with FKS
0x2=without FKS
0x3=Invalid</t>
  </si>
  <si>
    <t xml:space="preserve">
0x0= Without Driver Seat Heated
0x1= With Driver Seat Heated
0x3=Invalid</t>
  </si>
  <si>
    <t xml:space="preserve">
0x0=Unsupported
0x1=Without Driver Seat Ventilation
0x2=With Driver Seat Ventilation
0x3=invalid</t>
  </si>
  <si>
    <t xml:space="preserve">
0x0=Unsupported
0x1=Without Front Pass. seat Ventilation
0x2=With Front Pass. seat Ventilation
0x3=invalid</t>
  </si>
  <si>
    <t xml:space="preserve">
0x0=Unsupported
0x1=Without Front Pass. seat Heated
0x2=With Front Pass. seat Heated
0x3=invalid</t>
  </si>
  <si>
    <t>$Parameter</t>
  </si>
  <si>
    <t>$BytePos (from 0)</t>
  </si>
  <si>
    <t>$BitPos</t>
  </si>
  <si>
    <t>$BitLength</t>
  </si>
  <si>
    <t>$MethodType</t>
  </si>
  <si>
    <t>0x00 = Unsupported
0x10 = TAXI
0x11 = TAXI
0x12 = TAXI
0x13 = TAXI
0x14 = TAXI
0x15 = TAXI
0x16 = TAXI
0x17 = TAXI
0x18 = TAXI
0x19 = TAXI
0x1A = TAXI
0x1B = TAXI
0x1C = TAXI
0x1D = TAXI
0x1E = TAXI
0x1F = TAXI
0x20 = ECO
0x21 = ECO
0x22 = ECO
0x23 = ECO
0x24 = ECO
0x25 = ECO
0x26 = ECO
0x27 = ECO
0x28 = ECO
0x29 = ECO
0x2A = ECO
0x2B = ECO
0x2C = ECO
0x2D = ECO
0x2E = ECO
0x2F = ECO
0x30 = ECO
0x31 = ECO
0x32 = ECO
0x33 = ECO
0x34 = ECO
0x35 = ECO
0x36 = ECO
0x37 = ECO
0x38 = ECO
0x39 = ECO
0x3A = ECO
0x3B = ECO
0x3C = ECO
0x3D = ECO
0x3E = ECO
0x3F = ECO
0x40 = PLUS
0x41 = PLUS
0x42 = PLUS
0x43 = PLUS
0x44 = PLUS
0x45 = PLUS
0x46 = PLUS
0x47 = PLUS
0x48 = PLUS
0x49 = PLUS
0x4A = PLUS
0x4B = PLUS
0x4C = PLUS
0x4D = PLUS
0x4E = PLUS
0x4F = PLUS
0x50 = PLUS
0x51 = PLUS
0x52 = PLUS
0x53 = PLUS
0x54 = PLUS
0x55 = PLUS
0x56 = PLUS
0x57 = PLUS
0x58 = PLUS
0x59 = PLUS
0x5A = PLUS
0x5B = PLUS
0x5C = PLUS
0x5D = PLUS
0x5E = PLUS
0x5F = PLUS
0x60 = BASE
0x61 = BASE
0x62 = BASE
0x63 = BASE
0x64 = BASE
0x65 = BASE
0x66 = BASE
0x67 = BASE
0x68 = BASE
0x69 = BASE
0x6A = BASE
0x6B = BASE
0x6C = BASE
0x6D = BASE
0x6E = BASE
0x6F = BASE
0x70 = BASE
0x71 = BASE
0x72 = BASE
0x73 = BASE
0x74 = BASE
0x75 = BASE
0x76 = BASE
0x77 = BASE
0x78 = BASE
0x79 = BASE
0x7A = BASE
0x7B = BASE
0x7C = BASE
0x7D = BASE
0x7E = BASE
0x7F = BASE
0x80 = Reserved
0x81 = Reserved
0x82 = Reserved
0x83 = Reserved
0x84 = Reserved
0x85 = Reserved
0x86 = Reserved
0x87 = Reserved
0x88 = Reserved
0x89 = Reserved
0x8A = Reserved
0x8B = Reserved
0x8C = Reserved
0x8D = Reserved
0x8E = Reserved
0x8F = Reserved
0x90 = Reserved
0x91 = Reserved
0x92 = Reserved
0x93 = Reserved
0x94 = Reserved
0x95 = Reserved
0x96 = Reserved
0x97 = Reserved
0x98 = Reserved
0x99 = Reserved
0x9A = Reserved
0x9B = Reserved
0x9C = Reserved
0x9D = Reserved
0x9E = Reserved
0x9F = Reserved
0xA0 = Reserved
0xA1 = Reserved
0xA2 = Reserved
0xA3 = Reserved
0xA4 = Reserved
0xA5 = Reserved
0xA6 = Reserved
0xA7 = Reserved
0xA8 = Reserved
0xA9 = Reserved
0xAA = Reserved
0xAB = Reserved
0xAC = Reserved
0xAD = Reserved
0xAE = Reserved
0xAF = Reserved
0xB0 = Reserved
0xB1 = Reserved
0xB2 = Reserved
0xB3 = Reserved
0xB4 = Reserved
0xB5 = Reserved
0xB6 = Reserved
0xB7 = Reserved
0xB8 = Reserved
0xB9 = Reserved
0xBA = Reserved
0xBB = Reserved
0xBC = Reserved
0xBD = Reserved
0xBE = Reserved
0xBF = Reserved
0xC0 = Reserved
0xC1 = Reserved
0xC2 = Reserved
0xC3 = Reserved
0xC4 = Reserved
0xC5 = Reserved
0xC6 = Reserved
0xC7 = Reserved
0xC8 = Reserved
0xC9 = Reserved
0xCA = Reserved
0xCB = Reserved
0xCC = Reserved
0xCD = Reserved
0xCE = Reserved
0xCF = Reserved
0xD0 = Reserved
0xD1 = Reserved
0xD2 = Reserved
0xD3 = Reserved
0xD4 = Reserved
0xD5 = Reserved
0xD6 = Reserved
0xD7 = Reserved
0xD8 = Reserved
0xD9 = Reserved
0xDA = Reserved
0xDB = Reserved
0xDC = Reserved
0xDD = Reserved
0xDE = Reserved
0xDF = Reserved
0xE0 = Reserved
0xE1 = Reserved
0xE2 = Reserved
0xE3 = Reserved
0xE4 = Reserved
0xE5 = Reserved
0xE6 = Reserved
0xE7 = Reserved
0xE8 = Reserved
0xE9 = Reserved
0xEA = Reserved
0xEB = Reserved
0xEC = Reserved
0xED = Reserved
0xEE = Reserved
0xEF = Reserved
0xF0 = Reserved
0xF1 = Reserved
0xF2 = Reserved
0xF3 = Reserved
0xF4 = Reserved
0xF5 = Reserved
0xF6 = Reserved
0xF7 = Reserved
0xF8 = Reserved
0xF9 = Reserved
0xFA = Reserved
0xFB = Reserved
0xFC = Reserved
0xFD = Reserved
0xFE = Reserved
0xFF = Invalid</t>
  </si>
  <si>
    <t xml:space="preserve">
0x0=Unsupported
0x1 - Vietnamese
0x2 - English
0x3=Chinese
0x4=German
0x5=Russia
0x6=Japaness
0x7=Korean
0x8=French
0x9=Francais (Canada)
0xA=Dutch
0xB=Spanish
0xC=Hebrew
0xFF=Invalid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</si>
</sst>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25">
    <xf numFmtId="0" fontId="0" fillId="0" borderId="0" xfId="0"/>
    <xf numFmtId="0" fontId="2" fillId="0" borderId="0" xfId="2" applyFont="1" applyAlignment="1">
      <alignment vertical="center" wrapText="1"/>
    </xf>
    <xf numFmtId="0" fontId="2" fillId="0" borderId="0" xfId="2" applyFont="1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vertical="center" wrapText="1"/>
    </xf>
    <xf numFmtId="0" fontId="11" fillId="3" borderId="1" xfId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left" vertical="center" wrapText="1"/>
    </xf>
  </cellXfs>
  <cellStyles count="6">
    <cellStyle name="Explanatory Text" xfId="1" builtinId="53"/>
    <cellStyle name="Normal" xfId="0" builtinId="0"/>
    <cellStyle name="Normal 35" xfId="5" xr:uid="{5FFFBC67-D374-40D9-ACD1-A1CFCAC17363}"/>
    <cellStyle name="Normal 5" xfId="2" xr:uid="{7CEF12CA-B2F7-4503-94C9-A4C4BE491DCA}"/>
    <cellStyle name="Normal 6 3" xfId="4" xr:uid="{94F3A593-3BCA-416C-8B1B-638FDD2CAB94}"/>
    <cellStyle name="Standard" xfId="3" xr:uid="{6249E660-3927-42E1-B9DC-5BD5729832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\&#39033;&#30446;&#36164;&#26009;\&#27743;&#28142;S4\&#29790;&#39118;S4_EPS&#35786;&#26029;&#35268;&#33539;V1.8_20190301(2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>
        <row r="2">
          <cell r="A2" t="b">
            <v>0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A6EE-4EF8-47C9-A7DE-4BFBBF03B24F}">
  <sheetPr>
    <tabColor rgb="FFFFC000"/>
  </sheetPr>
  <dimension ref="A1:G48"/>
  <sheetViews>
    <sheetView tabSelected="1" zoomScale="60" zoomScaleNormal="60" workbookViewId="0">
      <selection activeCell="N5" sqref="N5"/>
    </sheetView>
  </sheetViews>
  <sheetFormatPr defaultColWidth="8.88671875" defaultRowHeight="13.8"/>
  <cols>
    <col min="1" max="1" width="10" style="1" customWidth="1"/>
    <col min="2" max="2" width="25.5546875" style="1" customWidth="1"/>
    <col min="3" max="3" width="21.5546875" style="1" customWidth="1"/>
    <col min="4" max="4" width="30" style="1" customWidth="1"/>
    <col min="5" max="5" width="29.88671875" style="1" customWidth="1"/>
    <col min="6" max="6" width="37" style="1" customWidth="1"/>
    <col min="7" max="7" width="10" style="1" customWidth="1"/>
    <col min="8" max="16384" width="8.88671875" style="2"/>
  </cols>
  <sheetData>
    <row r="1" spans="1:6" s="5" customFormat="1" ht="41.4">
      <c r="A1" s="3" t="s">
        <v>0</v>
      </c>
      <c r="B1" s="3" t="s">
        <v>82</v>
      </c>
      <c r="C1" s="3" t="s">
        <v>83</v>
      </c>
      <c r="D1" s="3" t="s">
        <v>84</v>
      </c>
      <c r="E1" s="3" t="s">
        <v>85</v>
      </c>
      <c r="F1" s="4" t="s">
        <v>86</v>
      </c>
    </row>
    <row r="2" spans="1:6" s="10" customFormat="1">
      <c r="A2" s="6" t="s">
        <v>1</v>
      </c>
      <c r="B2" s="7" t="s">
        <v>2</v>
      </c>
      <c r="C2" s="8">
        <v>3</v>
      </c>
      <c r="D2" s="8">
        <v>0</v>
      </c>
      <c r="E2" s="8">
        <v>16</v>
      </c>
      <c r="F2" s="9"/>
    </row>
    <row r="3" spans="1:6" s="10" customFormat="1">
      <c r="A3" s="6"/>
      <c r="B3" s="7" t="s">
        <v>4</v>
      </c>
      <c r="C3" s="8">
        <f t="shared" ref="C3" si="0">C2+QUOTIENT((E2+D2),8)</f>
        <v>5</v>
      </c>
      <c r="D3" s="8">
        <f t="shared" ref="D3" si="1">MOD(D2+E2,8)</f>
        <v>0</v>
      </c>
      <c r="E3" s="8">
        <v>56</v>
      </c>
      <c r="F3" s="9"/>
    </row>
    <row r="4" spans="1:6" s="14" customFormat="1" ht="198">
      <c r="A4" s="6"/>
      <c r="B4" s="11" t="s">
        <v>5</v>
      </c>
      <c r="C4" s="12">
        <v>12</v>
      </c>
      <c r="D4" s="12">
        <v>0</v>
      </c>
      <c r="E4" s="12">
        <v>8</v>
      </c>
      <c r="F4" s="11" t="s">
        <v>88</v>
      </c>
    </row>
    <row r="5" spans="1:6" s="14" customFormat="1" ht="409.6">
      <c r="A5" s="6"/>
      <c r="B5" s="15" t="s">
        <v>6</v>
      </c>
      <c r="C5" s="15">
        <v>13</v>
      </c>
      <c r="D5" s="15">
        <v>0</v>
      </c>
      <c r="E5" s="15">
        <v>8</v>
      </c>
      <c r="F5" s="16" t="s">
        <v>49</v>
      </c>
    </row>
    <row r="6" spans="1:6" s="14" customFormat="1">
      <c r="A6" s="6"/>
      <c r="B6" s="19" t="s">
        <v>7</v>
      </c>
      <c r="C6" s="12">
        <v>14</v>
      </c>
      <c r="D6" s="12">
        <v>0</v>
      </c>
      <c r="E6" s="19">
        <v>8</v>
      </c>
      <c r="F6" s="20" t="s">
        <v>3</v>
      </c>
    </row>
    <row r="7" spans="1:6" s="14" customFormat="1" ht="96.6">
      <c r="A7" s="6"/>
      <c r="B7" s="18" t="s">
        <v>8</v>
      </c>
      <c r="C7" s="15">
        <v>15</v>
      </c>
      <c r="D7" s="15">
        <v>0</v>
      </c>
      <c r="E7" s="18">
        <v>4</v>
      </c>
      <c r="F7" s="21" t="s">
        <v>50</v>
      </c>
    </row>
    <row r="8" spans="1:6" s="14" customFormat="1" ht="66">
      <c r="A8" s="6"/>
      <c r="B8" s="12" t="s">
        <v>9</v>
      </c>
      <c r="C8" s="12">
        <v>15</v>
      </c>
      <c r="D8" s="12">
        <v>4</v>
      </c>
      <c r="E8" s="12">
        <v>2</v>
      </c>
      <c r="F8" s="13" t="s">
        <v>51</v>
      </c>
    </row>
    <row r="9" spans="1:6" s="14" customFormat="1" ht="66">
      <c r="A9" s="6"/>
      <c r="B9" s="19" t="s">
        <v>10</v>
      </c>
      <c r="C9" s="19">
        <v>15</v>
      </c>
      <c r="D9" s="19">
        <v>6</v>
      </c>
      <c r="E9" s="19">
        <v>2</v>
      </c>
      <c r="F9" s="13" t="s">
        <v>52</v>
      </c>
    </row>
    <row r="10" spans="1:6" s="14" customFormat="1" ht="66">
      <c r="A10" s="6"/>
      <c r="B10" s="19" t="s">
        <v>11</v>
      </c>
      <c r="C10" s="19">
        <v>16</v>
      </c>
      <c r="D10" s="19">
        <v>0</v>
      </c>
      <c r="E10" s="19">
        <v>2</v>
      </c>
      <c r="F10" s="13" t="s">
        <v>53</v>
      </c>
    </row>
    <row r="11" spans="1:6" s="14" customFormat="1" ht="66">
      <c r="A11" s="6"/>
      <c r="B11" s="19" t="s">
        <v>12</v>
      </c>
      <c r="C11" s="19">
        <v>16</v>
      </c>
      <c r="D11" s="19">
        <v>2</v>
      </c>
      <c r="E11" s="19">
        <v>2</v>
      </c>
      <c r="F11" s="13" t="s">
        <v>54</v>
      </c>
    </row>
    <row r="12" spans="1:6" s="14" customFormat="1" ht="69">
      <c r="A12" s="6"/>
      <c r="B12" s="19" t="s">
        <v>13</v>
      </c>
      <c r="C12" s="19">
        <v>16</v>
      </c>
      <c r="D12" s="19">
        <v>4</v>
      </c>
      <c r="E12" s="19">
        <v>2</v>
      </c>
      <c r="F12" s="19" t="s">
        <v>55</v>
      </c>
    </row>
    <row r="13" spans="1:6" s="1" customFormat="1" ht="66">
      <c r="A13" s="6"/>
      <c r="B13" s="19" t="s">
        <v>14</v>
      </c>
      <c r="C13" s="19">
        <v>16</v>
      </c>
      <c r="D13" s="19">
        <v>6</v>
      </c>
      <c r="E13" s="19">
        <v>2</v>
      </c>
      <c r="F13" s="13" t="s">
        <v>56</v>
      </c>
    </row>
    <row r="14" spans="1:6" s="1" customFormat="1">
      <c r="A14" s="6"/>
      <c r="B14" s="12" t="s">
        <v>15</v>
      </c>
      <c r="C14" s="19">
        <v>17</v>
      </c>
      <c r="D14" s="19">
        <v>0</v>
      </c>
      <c r="E14" s="12">
        <v>8</v>
      </c>
      <c r="F14" s="13" t="s">
        <v>3</v>
      </c>
    </row>
    <row r="15" spans="1:6" s="1" customFormat="1" ht="92.4">
      <c r="A15" s="6"/>
      <c r="B15" s="12" t="s">
        <v>16</v>
      </c>
      <c r="C15" s="19">
        <v>18</v>
      </c>
      <c r="D15" s="19">
        <v>0</v>
      </c>
      <c r="E15" s="12">
        <v>4</v>
      </c>
      <c r="F15" s="11" t="s">
        <v>57</v>
      </c>
    </row>
    <row r="16" spans="1:6" s="1" customFormat="1" ht="409.6">
      <c r="A16" s="6"/>
      <c r="B16" s="12" t="s">
        <v>17</v>
      </c>
      <c r="C16" s="12">
        <v>18</v>
      </c>
      <c r="D16" s="12">
        <v>4</v>
      </c>
      <c r="E16" s="12">
        <v>8</v>
      </c>
      <c r="F16" s="11" t="s">
        <v>87</v>
      </c>
    </row>
    <row r="17" spans="1:6" s="1" customFormat="1">
      <c r="A17" s="6"/>
      <c r="B17" s="22" t="s">
        <v>18</v>
      </c>
      <c r="C17" s="12">
        <v>19</v>
      </c>
      <c r="D17" s="12">
        <v>4</v>
      </c>
      <c r="E17" s="12">
        <v>4</v>
      </c>
      <c r="F17" s="12" t="s">
        <v>3</v>
      </c>
    </row>
    <row r="18" spans="1:6" s="1" customFormat="1" ht="69">
      <c r="A18" s="6"/>
      <c r="B18" s="19" t="s">
        <v>19</v>
      </c>
      <c r="C18" s="12">
        <v>20</v>
      </c>
      <c r="D18" s="19">
        <v>0</v>
      </c>
      <c r="E18" s="19">
        <v>2</v>
      </c>
      <c r="F18" s="20" t="s">
        <v>58</v>
      </c>
    </row>
    <row r="19" spans="1:6" s="1" customFormat="1" ht="55.2">
      <c r="A19" s="6"/>
      <c r="B19" s="19" t="s">
        <v>20</v>
      </c>
      <c r="C19" s="12">
        <v>20</v>
      </c>
      <c r="D19" s="19">
        <v>2</v>
      </c>
      <c r="E19" s="19">
        <v>2</v>
      </c>
      <c r="F19" s="19" t="s">
        <v>59</v>
      </c>
    </row>
    <row r="20" spans="1:6" s="1" customFormat="1" ht="69">
      <c r="A20" s="6"/>
      <c r="B20" s="19" t="s">
        <v>21</v>
      </c>
      <c r="C20" s="12">
        <v>20</v>
      </c>
      <c r="D20" s="19">
        <v>4</v>
      </c>
      <c r="E20" s="19">
        <v>2</v>
      </c>
      <c r="F20" s="19" t="s">
        <v>60</v>
      </c>
    </row>
    <row r="21" spans="1:6" s="1" customFormat="1" ht="69">
      <c r="A21" s="6"/>
      <c r="B21" s="19" t="s">
        <v>22</v>
      </c>
      <c r="C21" s="12">
        <v>20</v>
      </c>
      <c r="D21" s="19">
        <v>6</v>
      </c>
      <c r="E21" s="19">
        <v>2</v>
      </c>
      <c r="F21" s="19" t="s">
        <v>61</v>
      </c>
    </row>
    <row r="22" spans="1:6" s="1" customFormat="1" ht="69">
      <c r="A22" s="6"/>
      <c r="B22" s="19" t="s">
        <v>23</v>
      </c>
      <c r="C22" s="12">
        <v>21</v>
      </c>
      <c r="D22" s="19">
        <v>0</v>
      </c>
      <c r="E22" s="19">
        <v>2</v>
      </c>
      <c r="F22" s="19" t="s">
        <v>62</v>
      </c>
    </row>
    <row r="23" spans="1:6" s="1" customFormat="1" ht="69">
      <c r="A23" s="6"/>
      <c r="B23" s="19" t="s">
        <v>24</v>
      </c>
      <c r="C23" s="12">
        <v>21</v>
      </c>
      <c r="D23" s="19">
        <v>2</v>
      </c>
      <c r="E23" s="19">
        <v>2</v>
      </c>
      <c r="F23" s="19" t="s">
        <v>63</v>
      </c>
    </row>
    <row r="24" spans="1:6" s="1" customFormat="1" ht="110.4">
      <c r="A24" s="6"/>
      <c r="B24" s="19" t="s">
        <v>25</v>
      </c>
      <c r="C24" s="12">
        <v>21</v>
      </c>
      <c r="D24" s="19">
        <v>4</v>
      </c>
      <c r="E24" s="19">
        <v>4</v>
      </c>
      <c r="F24" s="19" t="s">
        <v>64</v>
      </c>
    </row>
    <row r="25" spans="1:6" s="1" customFormat="1" ht="92.4">
      <c r="A25" s="6"/>
      <c r="B25" s="15" t="s">
        <v>26</v>
      </c>
      <c r="C25" s="15">
        <v>22</v>
      </c>
      <c r="D25" s="18">
        <v>0</v>
      </c>
      <c r="E25" s="15">
        <v>2</v>
      </c>
      <c r="F25" s="17" t="s">
        <v>65</v>
      </c>
    </row>
    <row r="26" spans="1:6" s="1" customFormat="1" ht="66">
      <c r="A26" s="6"/>
      <c r="B26" s="12" t="s">
        <v>27</v>
      </c>
      <c r="C26" s="12">
        <v>22</v>
      </c>
      <c r="D26" s="12">
        <v>2</v>
      </c>
      <c r="E26" s="12">
        <v>2</v>
      </c>
      <c r="F26" s="13" t="s">
        <v>66</v>
      </c>
    </row>
    <row r="27" spans="1:6" s="1" customFormat="1" ht="96.6">
      <c r="A27" s="6"/>
      <c r="B27" s="19" t="s">
        <v>28</v>
      </c>
      <c r="C27" s="19">
        <v>22</v>
      </c>
      <c r="D27" s="19">
        <v>4</v>
      </c>
      <c r="E27" s="19">
        <v>2</v>
      </c>
      <c r="F27" s="19" t="s">
        <v>67</v>
      </c>
    </row>
    <row r="28" spans="1:6" s="1" customFormat="1">
      <c r="A28" s="6"/>
      <c r="B28" s="19" t="s">
        <v>18</v>
      </c>
      <c r="C28" s="19">
        <v>22</v>
      </c>
      <c r="D28" s="19">
        <v>6</v>
      </c>
      <c r="E28" s="19">
        <v>2</v>
      </c>
      <c r="F28" s="12" t="s">
        <v>3</v>
      </c>
    </row>
    <row r="29" spans="1:6" s="1" customFormat="1" ht="132">
      <c r="A29" s="6"/>
      <c r="B29" s="12" t="s">
        <v>29</v>
      </c>
      <c r="C29" s="12">
        <v>23</v>
      </c>
      <c r="D29" s="12">
        <v>0</v>
      </c>
      <c r="E29" s="12">
        <v>8</v>
      </c>
      <c r="F29" s="11" t="s">
        <v>68</v>
      </c>
    </row>
    <row r="30" spans="1:6" s="1" customFormat="1" ht="132">
      <c r="A30" s="6"/>
      <c r="B30" s="12" t="s">
        <v>30</v>
      </c>
      <c r="C30" s="12">
        <v>24</v>
      </c>
      <c r="D30" s="12">
        <v>0</v>
      </c>
      <c r="E30" s="12">
        <v>8</v>
      </c>
      <c r="F30" s="11" t="s">
        <v>69</v>
      </c>
    </row>
    <row r="31" spans="1:6" s="1" customFormat="1" ht="66">
      <c r="A31" s="6"/>
      <c r="B31" s="15" t="s">
        <v>31</v>
      </c>
      <c r="C31" s="15">
        <v>25</v>
      </c>
      <c r="D31" s="15">
        <v>0</v>
      </c>
      <c r="E31" s="15">
        <v>2</v>
      </c>
      <c r="F31" s="17" t="s">
        <v>70</v>
      </c>
    </row>
    <row r="32" spans="1:6" s="1" customFormat="1" ht="66">
      <c r="A32" s="6"/>
      <c r="B32" s="15" t="s">
        <v>32</v>
      </c>
      <c r="C32" s="15">
        <v>25</v>
      </c>
      <c r="D32" s="15">
        <v>2</v>
      </c>
      <c r="E32" s="15">
        <v>2</v>
      </c>
      <c r="F32" s="17" t="s">
        <v>71</v>
      </c>
    </row>
    <row r="33" spans="1:6" s="1" customFormat="1" ht="66">
      <c r="A33" s="6"/>
      <c r="B33" s="12" t="s">
        <v>33</v>
      </c>
      <c r="C33" s="12">
        <v>25</v>
      </c>
      <c r="D33" s="12">
        <v>4</v>
      </c>
      <c r="E33" s="12">
        <v>2</v>
      </c>
      <c r="F33" s="13" t="s">
        <v>72</v>
      </c>
    </row>
    <row r="34" spans="1:6" s="1" customFormat="1" ht="92.4">
      <c r="A34" s="6"/>
      <c r="B34" s="19" t="s">
        <v>34</v>
      </c>
      <c r="C34" s="12">
        <v>25</v>
      </c>
      <c r="D34" s="12">
        <v>6</v>
      </c>
      <c r="E34" s="12">
        <v>2</v>
      </c>
      <c r="F34" s="11" t="s">
        <v>73</v>
      </c>
    </row>
    <row r="35" spans="1:6" s="1" customFormat="1" ht="66">
      <c r="A35" s="6"/>
      <c r="B35" s="23" t="s">
        <v>35</v>
      </c>
      <c r="C35" s="12">
        <v>26</v>
      </c>
      <c r="D35" s="23">
        <v>0</v>
      </c>
      <c r="E35" s="23">
        <v>2</v>
      </c>
      <c r="F35" s="13" t="s">
        <v>74</v>
      </c>
    </row>
    <row r="36" spans="1:6" s="1" customFormat="1" ht="69">
      <c r="A36" s="6"/>
      <c r="B36" s="18" t="s">
        <v>36</v>
      </c>
      <c r="C36" s="18">
        <v>26</v>
      </c>
      <c r="D36" s="18">
        <v>2</v>
      </c>
      <c r="E36" s="18">
        <v>2</v>
      </c>
      <c r="F36" s="18" t="s">
        <v>75</v>
      </c>
    </row>
    <row r="37" spans="1:6" s="1" customFormat="1" ht="69">
      <c r="A37" s="6"/>
      <c r="B37" s="19" t="s">
        <v>37</v>
      </c>
      <c r="C37" s="19">
        <v>26</v>
      </c>
      <c r="D37" s="19">
        <v>4</v>
      </c>
      <c r="E37" s="19">
        <v>2</v>
      </c>
      <c r="F37" s="19" t="s">
        <v>76</v>
      </c>
    </row>
    <row r="38" spans="1:6" s="1" customFormat="1" ht="69">
      <c r="A38" s="6"/>
      <c r="B38" s="19" t="s">
        <v>38</v>
      </c>
      <c r="C38" s="19">
        <v>26</v>
      </c>
      <c r="D38" s="19">
        <v>6</v>
      </c>
      <c r="E38" s="19">
        <v>2</v>
      </c>
      <c r="F38" s="19" t="s">
        <v>77</v>
      </c>
    </row>
    <row r="39" spans="1:6" s="1" customFormat="1" ht="55.2">
      <c r="A39" s="6"/>
      <c r="B39" s="19" t="s">
        <v>39</v>
      </c>
      <c r="C39" s="19">
        <v>27</v>
      </c>
      <c r="D39" s="19">
        <v>0</v>
      </c>
      <c r="E39" s="19">
        <v>2</v>
      </c>
      <c r="F39" s="20" t="s">
        <v>78</v>
      </c>
    </row>
    <row r="40" spans="1:6" s="1" customFormat="1" ht="69">
      <c r="A40" s="6"/>
      <c r="B40" s="19" t="s">
        <v>40</v>
      </c>
      <c r="C40" s="19">
        <v>27</v>
      </c>
      <c r="D40" s="19">
        <v>2</v>
      </c>
      <c r="E40" s="19">
        <v>2</v>
      </c>
      <c r="F40" s="19" t="s">
        <v>79</v>
      </c>
    </row>
    <row r="41" spans="1:6" s="1" customFormat="1" ht="82.8">
      <c r="A41" s="6"/>
      <c r="B41" s="19" t="s">
        <v>41</v>
      </c>
      <c r="C41" s="19">
        <v>27</v>
      </c>
      <c r="D41" s="19">
        <v>4</v>
      </c>
      <c r="E41" s="19">
        <v>2</v>
      </c>
      <c r="F41" s="19" t="s">
        <v>80</v>
      </c>
    </row>
    <row r="42" spans="1:6" s="1" customFormat="1" ht="69">
      <c r="A42" s="6"/>
      <c r="B42" s="19" t="s">
        <v>42</v>
      </c>
      <c r="C42" s="19">
        <v>27</v>
      </c>
      <c r="D42" s="19">
        <v>6</v>
      </c>
      <c r="E42" s="19">
        <v>2</v>
      </c>
      <c r="F42" s="19" t="s">
        <v>81</v>
      </c>
    </row>
    <row r="43" spans="1:6" s="1" customFormat="1" ht="26.4">
      <c r="A43" s="6"/>
      <c r="B43" s="23" t="s">
        <v>43</v>
      </c>
      <c r="C43" s="12">
        <v>28</v>
      </c>
      <c r="D43" s="23">
        <v>0</v>
      </c>
      <c r="E43" s="23">
        <v>8</v>
      </c>
      <c r="F43" s="24" t="s">
        <v>3</v>
      </c>
    </row>
    <row r="44" spans="1:6" s="1" customFormat="1">
      <c r="A44" s="6"/>
      <c r="B44" s="23" t="s">
        <v>44</v>
      </c>
      <c r="C44" s="12">
        <v>29</v>
      </c>
      <c r="D44" s="23">
        <v>0</v>
      </c>
      <c r="E44" s="23">
        <v>8</v>
      </c>
      <c r="F44" s="13" t="s">
        <v>3</v>
      </c>
    </row>
    <row r="45" spans="1:6" s="1" customFormat="1" ht="26.4">
      <c r="A45" s="6"/>
      <c r="B45" s="23" t="s">
        <v>45</v>
      </c>
      <c r="C45" s="12">
        <v>30</v>
      </c>
      <c r="D45" s="23">
        <v>0</v>
      </c>
      <c r="E45" s="23">
        <v>8</v>
      </c>
      <c r="F45" s="13" t="s">
        <v>3</v>
      </c>
    </row>
    <row r="46" spans="1:6" s="1" customFormat="1" ht="26.4">
      <c r="A46" s="6"/>
      <c r="B46" s="23" t="s">
        <v>46</v>
      </c>
      <c r="C46" s="12">
        <v>31</v>
      </c>
      <c r="D46" s="23">
        <v>0</v>
      </c>
      <c r="E46" s="23">
        <v>8</v>
      </c>
      <c r="F46" s="24" t="s">
        <v>3</v>
      </c>
    </row>
    <row r="47" spans="1:6" s="1" customFormat="1" ht="27.6">
      <c r="A47" s="6"/>
      <c r="B47" s="19" t="s">
        <v>47</v>
      </c>
      <c r="C47" s="19">
        <v>59</v>
      </c>
      <c r="D47" s="19">
        <v>0</v>
      </c>
      <c r="E47" s="19">
        <v>32</v>
      </c>
      <c r="F47" s="12" t="s">
        <v>3</v>
      </c>
    </row>
    <row r="48" spans="1:6" s="1" customFormat="1">
      <c r="A48" s="6"/>
      <c r="B48" s="12" t="s">
        <v>48</v>
      </c>
      <c r="C48" s="12">
        <v>63</v>
      </c>
      <c r="D48" s="23">
        <v>0</v>
      </c>
      <c r="E48" s="12">
        <v>8</v>
      </c>
      <c r="F48" s="13" t="s">
        <v>3</v>
      </c>
    </row>
  </sheetData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2026-08-11T12:43:14Z</dcterms:created>
  <dcterms:modified xsi:type="dcterms:W3CDTF">2026-08-16T15:14:17Z</dcterms:modified>
</cp:coreProperties>
</file>