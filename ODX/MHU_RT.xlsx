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ODX\"/>
    </mc:Choice>
  </mc:AlternateContent>
  <xr:revisionPtr revIDLastSave="0" documentId="8_{CFDC8F4F-F523-44F4-A75D-0EE409EBF82A}" xr6:coauthVersionLast="47" xr6:coauthVersionMax="47" xr10:uidLastSave="{00000000-0000-0000-0000-000000000000}"/>
  <bookViews>
    <workbookView xWindow="1536" yWindow="756" windowWidth="16980" windowHeight="12204" xr2:uid="{779A28B5-876F-46F1-B5D7-08E2830A9E9A}"/>
  </bookViews>
  <sheets>
    <sheet name="Routines Data (0x31) (2)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A">#REF!</definedName>
    <definedName name="aaaa">[2]Selections!$A$2:$A$103</definedName>
    <definedName name="aaab">[2]Selections!$A$2:$A$103</definedName>
    <definedName name="aac">[2]Selections!$A$2:$A$103</definedName>
    <definedName name="Access_Attribute">[2]Selections!$H$2:$H$4</definedName>
    <definedName name="Alert_Behaviour">[2]Selections!$G$2:$G$7</definedName>
    <definedName name="Area">[3]Selections!$I$1:$I$2</definedName>
    <definedName name="asas">#REF!</definedName>
    <definedName name="Audience">[3]Selections!$C$1:$C$7</definedName>
    <definedName name="Check_Per_Cycle">[2]Selections!$J$2:$J$4</definedName>
    <definedName name="Decode_Type">[3]Selections!$F$1:$F$9</definedName>
    <definedName name="DID_Group">[3]Selections!$E$1:$E$6</definedName>
    <definedName name="DTC_Class">[2]Selections!$F$2:$F$7</definedName>
    <definedName name="ECUDID1">[4]Selections!$I$1:$I$2</definedName>
    <definedName name="FaultList1">[5]Selections!$H$2:$H$4</definedName>
    <definedName name="Hex_LB">[6]Selections!$A$2:$A$103</definedName>
    <definedName name="Implementation">[3]Selections!$I$1:$I$2</definedName>
    <definedName name="Memory">[3]Selections!$G$1:$G$4</definedName>
    <definedName name="MSB_LSB">[3]Selections!$B$1:$B$3</definedName>
    <definedName name="MSB_LSB_List">[7]Selections!$B$1:$B$3</definedName>
    <definedName name="no">#REF!</definedName>
    <definedName name="No_Yes">[3]Selections!$A$1:$A$3</definedName>
    <definedName name="P2_DIDs">[8]Ref_Ranges!$AI$2:$AI$3</definedName>
    <definedName name="P2_ECUPins">OFFSET([9]Ref_Ranges!$N$1,1,0,IF(MATCH("*",[9]Ref_Ranges!$N:$N,-1)&gt;2,MATCH("*",[9]Ref_Ranges!$N:$N,-1),3)-1,1)</definedName>
    <definedName name="P2_ECUType">[8]Header!$D$139:$D$150</definedName>
    <definedName name="P2_ExtDataList">[8]Ref_Ranges!$AE$2:$AE$4</definedName>
    <definedName name="P2_LSDIDList">[8]Ref_Ranges!$X$2:$X$4</definedName>
    <definedName name="P2_SSD3SymtomValidator">[8]Ref_Ranges!$AK$2:$AK$3</definedName>
    <definedName name="P2_Symptom_Validator">OFFSET([8]Ref_Ranges!$P$1,1,0,IF(MATCH("*",[8]Ref_Ranges!$P:$P,-1)&gt;2,MATCH("*",[8]Ref_Ranges!$P:$P,-1),3)-1,1)</definedName>
    <definedName name="PBCU_Codes">[2]Selections!$D$2:$D$5</definedName>
    <definedName name="Priority">[2]Selections!$I$2:$I$6</definedName>
    <definedName name="R_IO_W">[3]Selections!$D$1:$D$9</definedName>
    <definedName name="Req_5">'[10]1.General'!#REF!</definedName>
    <definedName name="s">[11]Selections!$I$2:$I$6</definedName>
    <definedName name="Security_Required">[3]Selections!$H$1:$H$3</definedName>
    <definedName name="Text_LB">[2]Selections!$B$2:$B$103</definedName>
    <definedName name="xxa1">[12]DataBlock!#REF!</definedName>
    <definedName name="xxx1">[12]DataBlock!#REF!</definedName>
    <definedName name="yaa1">[12]DataBlock!#REF!</definedName>
    <definedName name="yes">#REF!</definedName>
    <definedName name="yes_no">[2]Selections!$E$2:$E$3</definedName>
    <definedName name="yyy1">[12]DataBlock!#REF!</definedName>
    <definedName name="zzz1">[12]DataBlock!#REF!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02" i="1" l="1"/>
  <c r="H301" i="1"/>
  <c r="G301" i="1"/>
  <c r="G302" i="1" s="1"/>
  <c r="H295" i="1"/>
  <c r="H296" i="1" s="1"/>
  <c r="G295" i="1"/>
  <c r="G296" i="1" s="1"/>
  <c r="H292" i="1"/>
  <c r="G292" i="1"/>
  <c r="H290" i="1"/>
  <c r="G290" i="1"/>
  <c r="I238" i="1"/>
  <c r="I234" i="1"/>
  <c r="I233" i="1"/>
  <c r="I148" i="1"/>
  <c r="I145" i="1"/>
  <c r="I142" i="1"/>
  <c r="I141" i="1"/>
  <c r="H131" i="1"/>
  <c r="H132" i="1" s="1"/>
  <c r="H133" i="1" s="1"/>
  <c r="H134" i="1" s="1"/>
  <c r="H135" i="1" s="1"/>
  <c r="H136" i="1" s="1"/>
  <c r="G131" i="1"/>
  <c r="G132" i="1" s="1"/>
  <c r="G133" i="1" s="1"/>
  <c r="G134" i="1" s="1"/>
  <c r="G135" i="1" s="1"/>
  <c r="G136" i="1" s="1"/>
  <c r="H127" i="1"/>
  <c r="G127" i="1"/>
  <c r="H120" i="1"/>
  <c r="G1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46" authorId="0" shapeId="0" xr:uid="{5A40DAE1-82B6-4902-8468-DC1494E40569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Change N=32</t>
        </r>
      </text>
    </comment>
  </commentList>
</comments>
</file>

<file path=xl/sharedStrings.xml><?xml version="1.0" encoding="utf-8"?>
<sst xmlns="http://schemas.openxmlformats.org/spreadsheetml/2006/main" count="1506" uniqueCount="430">
  <si>
    <t>Back to first page</t>
  </si>
  <si>
    <t>Session</t>
  </si>
  <si>
    <t>ControlType</t>
  </si>
  <si>
    <t>RID Number (hex)</t>
  </si>
  <si>
    <t>RID Name</t>
  </si>
  <si>
    <t>Req/Resp</t>
  </si>
  <si>
    <t>Parameter</t>
  </si>
  <si>
    <t>BytePos (from 0)</t>
  </si>
  <si>
    <t>BitPos</t>
  </si>
  <si>
    <t>BitLength</t>
  </si>
  <si>
    <t>DataType</t>
  </si>
  <si>
    <t>MethodType</t>
  </si>
  <si>
    <t>Unit</t>
  </si>
  <si>
    <t>security level</t>
  </si>
  <si>
    <t>conditions</t>
  </si>
  <si>
    <t>Supported (YES/NO)</t>
  </si>
  <si>
    <t>Comment</t>
  </si>
  <si>
    <t>10 03
(Extended Session)</t>
  </si>
  <si>
    <t>01</t>
  </si>
  <si>
    <t>0x0203</t>
  </si>
  <si>
    <t xml:space="preserve">checkProgrammingPreConditions </t>
  </si>
  <si>
    <t>Req</t>
  </si>
  <si>
    <t>L0</t>
  </si>
  <si>
    <t>No</t>
  </si>
  <si>
    <t>MHU is not applied Flashing Sequence via CAN but FOTU/FOTA</t>
  </si>
  <si>
    <t>Resp</t>
  </si>
  <si>
    <t>routineStatus#1</t>
  </si>
  <si>
    <t>MSB/LSB BITPATTERN</t>
  </si>
  <si>
    <t>type=texttable
0x00= 0x02 ON (Driver Present) or 0x04 Software Update OTA
0x01= Stat terminal condition not met</t>
  </si>
  <si>
    <t>routineStatus#2</t>
  </si>
  <si>
    <t>type=texttable
0x00= Vehicle speed condition met
0x02= Vehicle speed condition not met</t>
  </si>
  <si>
    <t>routineStatus#3</t>
  </si>
  <si>
    <t>Response 3
This is a redundant response for reporting ignition state and will always respond with 00</t>
  </si>
  <si>
    <t>routineStatus#4</t>
  </si>
  <si>
    <t>type=texttable
0x00=Voltage conditions are met
0x04=Under or above programming voltage (11.5v ~ 16v)</t>
  </si>
  <si>
    <t>10 02
(Programming Session)</t>
  </si>
  <si>
    <t>0xFF00</t>
  </si>
  <si>
    <t xml:space="preserve">eraseMemory </t>
  </si>
  <si>
    <t xml:space="preserve">addressAndLengthFormatIdentifier </t>
  </si>
  <si>
    <t>MSB/LSB UNSIGNED</t>
  </si>
  <si>
    <t>type=identical
value=0x44</t>
  </si>
  <si>
    <t>L4</t>
  </si>
  <si>
    <t>Recomment value is
Value(Hex)=44</t>
  </si>
  <si>
    <t>memoryAddress</t>
  </si>
  <si>
    <t>type=identical</t>
  </si>
  <si>
    <t>memorysize</t>
  </si>
  <si>
    <t>The memoryAddressIndex should be the logical block number.</t>
  </si>
  <si>
    <t>routine result</t>
  </si>
  <si>
    <t>type=texttable
0x00=correctResult
0x01=incorrectResult</t>
  </si>
  <si>
    <t>0x0202</t>
  </si>
  <si>
    <t xml:space="preserve">checkMemory </t>
  </si>
  <si>
    <t>Checksum</t>
  </si>
  <si>
    <t>BYTEFIELD</t>
  </si>
  <si>
    <t>0xFF01</t>
  </si>
  <si>
    <t xml:space="preserve">checkProgrammingDependencies </t>
  </si>
  <si>
    <t xml:space="preserve">type=texttable
0x00=correctResult
0x01=incorrectResult
</t>
  </si>
  <si>
    <t>Extended Session</t>
  </si>
  <si>
    <t>0x0302</t>
  </si>
  <si>
    <t>CheckTPM</t>
  </si>
  <si>
    <t>L1/L2</t>
  </si>
  <si>
    <t>yes</t>
  </si>
  <si>
    <t>Test Result</t>
  </si>
  <si>
    <t>type=texttable
0x0=Fail
0x1=pass</t>
  </si>
  <si>
    <t>0: Fail
1: Pass</t>
  </si>
  <si>
    <t>0x0303</t>
  </si>
  <si>
    <t>CheckAudio</t>
  </si>
  <si>
    <t>Microphone Index</t>
  </si>
  <si>
    <t>type=integer</t>
  </si>
  <si>
    <t>YES</t>
  </si>
  <si>
    <t>Microphone index (0,1)</t>
  </si>
  <si>
    <t>Speaker Index</t>
  </si>
  <si>
    <t>Speaker index</t>
  </si>
  <si>
    <t>02</t>
  </si>
  <si>
    <t> </t>
  </si>
  <si>
    <t>Stop State</t>
  </si>
  <si>
    <t>0x0304</t>
  </si>
  <si>
    <t>CheckGps</t>
  </si>
  <si>
    <t>Latitude</t>
  </si>
  <si>
    <t>type=int</t>
  </si>
  <si>
    <t>RawValue = PhysicalValue*100</t>
  </si>
  <si>
    <t>Longtitude</t>
  </si>
  <si>
    <t>Speed</t>
  </si>
  <si>
    <t>Timestamp</t>
  </si>
  <si>
    <t>Metadata</t>
  </si>
  <si>
    <t>RSSI</t>
  </si>
  <si>
    <t>dBm</t>
  </si>
  <si>
    <t>RawValue = PhysicalValue*100*(-1)</t>
  </si>
  <si>
    <t>SNR</t>
  </si>
  <si>
    <t>%</t>
  </si>
  <si>
    <t>RawValue = PhysicalValue</t>
  </si>
  <si>
    <t>0x0305</t>
  </si>
  <si>
    <t>CheckLte</t>
  </si>
  <si>
    <t>Band</t>
  </si>
  <si>
    <t>type=texttable
- Byte 0:
0x00: RF Test
0x01: FTM ON
0x02: FTM OFF
- Byte 1:
0x00: TX
0x01: RX
- Byte 2: Band test
0x1=Band 1
0x3=Band 3
0x5=Band 5
0x7=Band 7
0x8=Band 8
0x14=Band 20
0x1C=Band 28
0x26=Band 38
0x28=Band 40
0x30=GSM
0x40=WCDMA/UMTS
- Byte 3:
0x3E: 20 dBm
0x41: 23 dBm</t>
  </si>
  <si>
    <t>Channel</t>
  </si>
  <si>
    <t>Channel index</t>
  </si>
  <si>
    <t>Modulation type</t>
  </si>
  <si>
    <t>type=texttable
0x0=QPSK 
0x1=16QAM
0x2=64QAM
0x3=256QAM</t>
  </si>
  <si>
    <t>0: QPSK 
1: 16QAM:
2: 64QAM
3:256QAM</t>
  </si>
  <si>
    <t>BER</t>
  </si>
  <si>
    <t>type=identical (optional)</t>
  </si>
  <si>
    <t>RawValue = PhysicalValue*(-1)/10</t>
  </si>
  <si>
    <t>0x0306</t>
  </si>
  <si>
    <t>CheckPlayEcallSpeaker</t>
  </si>
  <si>
    <t>Mode</t>
  </si>
  <si>
    <t>type=texttable
0x00=Play shoud mode
0x01=Diagnostics mode</t>
  </si>
  <si>
    <t>Routine result</t>
  </si>
  <si>
    <r>
      <rPr>
        <sz val="10"/>
        <rFont val="Arial"/>
        <family val="2"/>
      </rPr>
      <t xml:space="preserve">0x00: success
0x80: TBOX not respond
</t>
    </r>
    <r>
      <rPr>
        <b/>
        <sz val="10"/>
        <rFont val="Arial"/>
        <family val="2"/>
      </rPr>
      <t>Failure mask of "Play sound mode":</t>
    </r>
    <r>
      <rPr>
        <sz val="10"/>
        <rFont val="Arial"/>
        <family val="2"/>
      </rPr>
      <t xml:space="preserve">
* Bit 0: Global judgement. 0: success. 1: failed.
* Bit 1: Sound source corrupted. 0: success. 1: corrupted.
* Bit 2: Sound source invalid. 0: success. 1: source invalid.
* Bit 3: Software failure. 0: success. 1: SW failure.</t>
    </r>
    <r>
      <rPr>
        <b/>
        <sz val="10"/>
        <rFont val="Arial"/>
        <family val="2"/>
      </rPr>
      <t xml:space="preserve">
Failure mask of "diagnostics mode":
</t>
    </r>
    <r>
      <rPr>
        <sz val="10"/>
        <rFont val="Arial"/>
        <family val="2"/>
      </rPr>
      <t>* Bit 0: Global judgement. 0: success. 1: failed.
* Bit 1: Communication with amplifier error status. 0: success. 1: failed. 
* Bit 2: Output short to PVDD is present. 0: success. 1: short to VCC.
* Bit 3: Output short to Ground is present. 0: success. 1: short to ground.
* Bit 4: Open load. 0: success. 1: open load.
* Bit 5: Shorted load. 0: success. 1: shorted load.
* Bit 6: In fault condition. 0: success. 1: fault.
* Bit 7: Ongoing diagnostics. 0: success. 1: on diagnostics.
* Bit 8: mute mode. 0: success. 1: on muted.
* Bit 9: In play mode. 0: success. 1: on playmode.
* Bit 10-31: Reserved.</t>
    </r>
  </si>
  <si>
    <t>0x00: success
0x01: fail</t>
  </si>
  <si>
    <t>0x031C</t>
  </si>
  <si>
    <t>CheckPlayMediaSpeaker</t>
  </si>
  <si>
    <t>Speaker Channel</t>
  </si>
  <si>
    <t>type=texttable
0x01=Front Left Main Speaker Ch Output TestTone 1
0x02=Front Left Main Speaker Ch Output TestTone 2
0x03=Front Right Main Speaker Ch Output TestTone 1
0x04=Front Right Main Speaker Ch Output TestTone 2
0x05=Rear Left Main Speaker Ch Output TestTone 1
0x06=Rear Left Main Speaker Ch Output TestTone 2
0x07=Rear Right Main Speaker Ch Output TestTone 1
0x08=Rear Right Main Speaker Ch Output TestTone 2
0x11=ALL Ch Output TestTone 1
0x12=ALL Ch Output TestTone 2</t>
  </si>
  <si>
    <t>L1/L2 </t>
  </si>
  <si>
    <t> L1/L2 </t>
  </si>
  <si>
    <t>0x0307</t>
  </si>
  <si>
    <t>CheckSOSButtion</t>
  </si>
  <si>
    <t>type=texttable
0x00=Regular mode
0x01=Test Mode (without call triggering)</t>
  </si>
  <si>
    <t>type=texttable
0x00=TEST_SUCCESS
0x01=TEST_TIME_OUT
0x02=SOS IN1 short to ground
0x04=SOS IN1 short to VDD
0x08=SOS IN2 short to ground
0x10=SOS IN2 short to VDD
0x20=TBOX not respond</t>
  </si>
  <si>
    <t>0: TEST_SUCCESS
1: TEST_TIME_OUT
2: TEST_NOT_SUCCESS</t>
  </si>
  <si>
    <t>0x030A</t>
  </si>
  <si>
    <t>CheckCamera</t>
  </si>
  <si>
    <t>Camera index</t>
  </si>
  <si>
    <t>type=texttable
0x0=All Camera
0x1=Front Camera
0x2=Rear Camera
0x3=Left Camera
0x4=Right Camera</t>
  </si>
  <si>
    <t>VF3 only Rear Camera</t>
  </si>
  <si>
    <t xml:space="preserve">type=texttable
0x0=All Camera
0x1=Front Camera
0x2=Rear Camera
0x3=Left Camera
0x4=Right Camera
0xFF=Invalid </t>
  </si>
  <si>
    <t>0x030B</t>
  </si>
  <si>
    <t>CheckWifi</t>
  </si>
  <si>
    <t>Wifi test command</t>
  </si>
  <si>
    <t>type=texttable
0x0=Request connect to wifi access point name
0x1=Query wifi RSSI</t>
  </si>
  <si>
    <t>0: Request connect to wifi access point name
1: Query wifi RSSI</t>
  </si>
  <si>
    <t>Access point name</t>
  </si>
  <si>
    <t>ASCII</t>
  </si>
  <si>
    <t>type=texttable</t>
  </si>
  <si>
    <t>Name of access point that want to test with</t>
  </si>
  <si>
    <t>RawValue = PhysicalValue*100*(-1)
if Wifi test command is 0 -  Request connect to wifi access point name:
return RSSI is 0xFFFFFFFF if connect wifi failure
return RSSI is 0 if connect wifi sucessful</t>
  </si>
  <si>
    <t>0x030C</t>
  </si>
  <si>
    <t>CheckBluetooth</t>
  </si>
  <si>
    <t>Bluetooth test command</t>
  </si>
  <si>
    <t>type=texttable
0x0=Scan bluetooth
0x1=Pair bluetooth
0x2=Query RSSI value</t>
  </si>
  <si>
    <t>0: Active Bluetooth mode
1: Bluetooth audio mode
2: Query RSSI value</t>
  </si>
  <si>
    <t>Bluetooth Name</t>
  </si>
  <si>
    <t>Bluetooth Name that want to test with</t>
  </si>
  <si>
    <t>RawValue = PhysicalValue*100*(-1)
return RSSI is 0x00 if Scan bluetooth or Pair bluetooth successful
return RSSI is 0xFFFFFFFF If Scan bluetooth or Pair bluetooth value failure</t>
  </si>
  <si>
    <t>0x030D</t>
  </si>
  <si>
    <t>CheckAppleAuthentication</t>
  </si>
  <si>
    <t>Authentication result</t>
  </si>
  <si>
    <t>Apple ID</t>
  </si>
  <si>
    <t>0x030E</t>
  </si>
  <si>
    <t>CheckRTC</t>
  </si>
  <si>
    <t>Date</t>
  </si>
  <si>
    <t>Date range (1, 31)</t>
  </si>
  <si>
    <t>Month</t>
  </si>
  <si>
    <t>Month range (1, 12)</t>
  </si>
  <si>
    <t>Year</t>
  </si>
  <si>
    <t>Hour</t>
  </si>
  <si>
    <t>Hour format 24h(0, 23)</t>
  </si>
  <si>
    <t>Minute</t>
  </si>
  <si>
    <t>Minute range (0, 59)</t>
  </si>
  <si>
    <t>Second</t>
  </si>
  <si>
    <t>Second range (0, 59)</t>
  </si>
  <si>
    <t>0x0311</t>
  </si>
  <si>
    <t>CheckUSB</t>
  </si>
  <si>
    <t>Test result</t>
  </si>
  <si>
    <t>0x0312</t>
  </si>
  <si>
    <t>CheckIPCSensor</t>
  </si>
  <si>
    <t>Sensor type</t>
  </si>
  <si>
    <t>type=texttable
0x0=Fuel level Left sensor
0x1=Fuel level Right sensor
0x2=Coolant sensor
0x3=Ambient temperature sensor</t>
  </si>
  <si>
    <t>0: Fuel level Left sensor
1: Fuel level Right sensor
2: Coolant sensor
3: Ambient temperature sensor</t>
  </si>
  <si>
    <t>Sensor data</t>
  </si>
  <si>
    <t>Sensor data read by eCockpit:
Fuel level Left sensor: unit lit; RawValue =PhysicalValue*100
Fuel level Right sensor: unit lit; RawValue =PhysicalValue*100
Coolant Level: 1 is Full(Đầy bình), 0 is not full (Không đầy bình)
Ambient temperature sensor: Unit oC; RawValue =PhysicalValue*2 + 80</t>
  </si>
  <si>
    <t>0x0313</t>
  </si>
  <si>
    <t>CheckIO</t>
  </si>
  <si>
    <t>IO type</t>
  </si>
  <si>
    <t>type=texttable
0x0=IG
0x1=ACC
0x2=Knob button
0x3=AIRBAG_INPUT</t>
  </si>
  <si>
    <t>0: IG: HIGH or LOW
1: ACC: HIGH or LOW
2: Knob button
    0: Release 
    1: Short press
    2: Long press
    3: Clockwise
    4: Counter Clockwise
3: AIRBAG_INPUT</t>
  </si>
  <si>
    <t> Resp</t>
  </si>
  <si>
    <t>0: IG
1: ACC
2: Knob button
3: AIRBAG_INPUT</t>
  </si>
  <si>
    <t>IO Value</t>
  </si>
  <si>
    <t>0x0314</t>
  </si>
  <si>
    <t>ByPass ShutDown Timer</t>
  </si>
  <si>
    <t>none</t>
  </si>
  <si>
    <t>L2</t>
  </si>
  <si>
    <t>This RID is using for Manufactering</t>
  </si>
  <si>
    <t>0x0315</t>
  </si>
  <si>
    <t>CheckAMFM</t>
  </si>
  <si>
    <t>Radio Frequency Type</t>
  </si>
  <si>
    <t>type=texttable
0x0=AM
0x1=FM
0x2=DAB</t>
  </si>
  <si>
    <t>0: AM
1: FM
2: DAB</t>
  </si>
  <si>
    <t>Radio frequency Hz</t>
  </si>
  <si>
    <t>Hz</t>
  </si>
  <si>
    <t xml:space="preserve">Noise Level </t>
  </si>
  <si>
    <t>0x0316</t>
  </si>
  <si>
    <t>WriteEEPROM</t>
  </si>
  <si>
    <t>Data Write</t>
  </si>
  <si>
    <t>Data need be written:
8E 00 62 6D E5 E5 36 B1 E4 E4 E4 E4 36 20 20 0A F4 F4 44 44 F4 F4 44 44 44 44 F4 F4 F4 4F 01 52 52 52 52 53 51 4F 4D 01 52 53 60 00 00 00 00 00 00 00 11 41 00 76</t>
  </si>
  <si>
    <t>0x0318</t>
  </si>
  <si>
    <t>ROM_GetSOCID</t>
  </si>
  <si>
    <t>Result SOC ID</t>
  </si>
  <si>
    <t>0x0319</t>
  </si>
  <si>
    <t>ReadEEPROM</t>
  </si>
  <si>
    <t>Result</t>
  </si>
  <si>
    <t>0x031A</t>
  </si>
  <si>
    <t>VerifyEEPROM</t>
  </si>
  <si>
    <t> 0: Fail
1: Pass</t>
  </si>
  <si>
    <t>0x0317</t>
  </si>
  <si>
    <t>CheckEMMCTbox</t>
  </si>
  <si>
    <t xml:space="preserve">type=texttable
0x0=SUCCESS
0x1=MOUNT_ERROR
0x2=READ_ERROR
0x3=WRITE_ERROR
0x4=SIZE_ERROR
0x5=UNKNOWN_ERROR
</t>
  </si>
  <si>
    <t xml:space="preserve">SUCCESS = 0x00,
MOUNT_ERROR = 0x01
READ_ERROR = 0x02
WRITE_ERROR = 0x03
SIZE_ERROR = 0x04
UNKNOWN_ERROR = 0x05
</t>
  </si>
  <si>
    <t>0x031F</t>
  </si>
  <si>
    <t>Get eMMC format duration</t>
  </si>
  <si>
    <t>type=texttable
0x00: Success
0x01: TBOX not respond</t>
  </si>
  <si>
    <t>Duration</t>
  </si>
  <si>
    <t xml:space="preserve">type=texttable
Duration of format eMMC from TBOX. The return value presented as seconds.
</t>
  </si>
  <si>
    <t>0x0320</t>
  </si>
  <si>
    <t>TBOX factory reset</t>
  </si>
  <si>
    <t xml:space="preserve">type=texttable
0x00: success
0x01: TBOX not respond
0x02: internal TBOX failure
0x03: Timeout. Timeout for TBOX to respond to factory reset is 60s. During 60s, MHU keep sending out respond pending NRC78
</t>
  </si>
  <si>
    <t>0x031D</t>
  </si>
  <si>
    <t>Check BUB</t>
  </si>
  <si>
    <t>type</t>
  </si>
  <si>
    <t>type=texttable
0x00: Get BUB Voltage
0x01: Get BUB SOH
0x02: Get BUB Charging Status
0x03: Set BUB Charge Enforcing Start
0x04: Set BUB Charge Enforcing Stop
0x05: Set BUB Charge Enforcing Auto</t>
  </si>
  <si>
    <t>type=texttable
0x00: Success
0x01: TBOX not respond
0x02: BUB absent</t>
  </si>
  <si>
    <t>type=texttable
if mode == 0x00:
    value = hex of (float32 BUB Voltage)
if mode == 0x01:
    value = hex of SOH (%)
if mode == 0x02
    value = 0x00: IDLE
    value = 0x01: Charging
if mode == 0x03 | 0x04 | 0x05
    value = mode</t>
  </si>
  <si>
    <t>0x031E</t>
  </si>
  <si>
    <t>Get last connection status</t>
  </si>
  <si>
    <t>Unix Timestamp GMT</t>
  </si>
  <si>
    <t>type=texttable
GNSS lat value</t>
  </si>
  <si>
    <t>Lat</t>
  </si>
  <si>
    <t>type=texttable
GNSS lat value hex presentation of float32</t>
  </si>
  <si>
    <t>Long</t>
  </si>
  <si>
    <t>type=texttable
GNSS long value hex presentation of float32</t>
  </si>
  <si>
    <t>Vehicle speed</t>
  </si>
  <si>
    <t>type=texttable
Vehicle speed (Km/h)</t>
  </si>
  <si>
    <t>type=texttable
RSSI value</t>
  </si>
  <si>
    <t>Network technology</t>
  </si>
  <si>
    <t>type=texttable
00=Unknown
01=2G/GSM
02=3G/WCDMA/UMTS
03=4G/LTE</t>
  </si>
  <si>
    <t>Extended/Coding/Programing Session</t>
  </si>
  <si>
    <t>0x0208</t>
  </si>
  <si>
    <t>Generate device connected identity</t>
  </si>
  <si>
    <t>8 bytes random vector</t>
  </si>
  <si>
    <t>L1/L2/L3/L4</t>
  </si>
  <si>
    <t>Random value</t>
  </si>
  <si>
    <t xml:space="preserve">type=texttable
0x0=success
0xXX=fail </t>
  </si>
  <si>
    <t xml:space="preserve">0x00: success
0xXX: fail
</t>
  </si>
  <si>
    <t>0x0204</t>
  </si>
  <si>
    <t>Validate credential by challenge</t>
  </si>
  <si>
    <t>16 bytes random vector</t>
  </si>
  <si>
    <t>routineControlSuccess                   = 0x00
routineControlPending                   = 0x01
routineControlStartError                = 0x02
routineControlLogicalError              = 0x03
routineControlAccessDidFailed           = 0x04
routineControlOptionRecordNotCorrect    = 0xFF</t>
  </si>
  <si>
    <t>Signature of random vector</t>
  </si>
  <si>
    <t>0x0205</t>
  </si>
  <si>
    <t>Validate data encryption key by challenge</t>
  </si>
  <si>
    <t>Length of encrypted data (cipher text)</t>
  </si>
  <si>
    <t>Encrypted data (cipher text)</t>
  </si>
  <si>
    <t>type=texttable
0x0=success
0x1=fail</t>
  </si>
  <si>
    <t>Result of sha1 of raw data</t>
  </si>
  <si>
    <t>0x0206</t>
  </si>
  <si>
    <t>Verify repogramming keyset</t>
  </si>
  <si>
    <t>CRC-32</t>
  </si>
  <si>
    <t>0x00: success</t>
  </si>
  <si>
    <t>0x01: fail</t>
  </si>
  <si>
    <t>0x020E</t>
  </si>
  <si>
    <t>Verify connectivity</t>
  </si>
  <si>
    <t>Connection type</t>
  </si>
  <si>
    <t>type=identical
0x00=to internet only
0x01=to vinfast cloud
0x02=provision finalized</t>
  </si>
  <si>
    <t>0x00=to internet only
0x01=to vinfast cloud
0x02=provision finalized</t>
  </si>
  <si>
    <t>type=identical
0x00: success
0x01: fail</t>
  </si>
  <si>
    <t>0x0207</t>
  </si>
  <si>
    <t xml:space="preserve">Confirm credential </t>
  </si>
  <si>
    <t>Credential result</t>
  </si>
  <si>
    <t>List of unconfirmed DID</t>
  </si>
  <si>
    <t xml:space="preserve">    </t>
  </si>
  <si>
    <t>1. Only returning an empty list (response = 71, 01, 02, 07) means that all credential are valid.</t>
  </si>
  <si>
    <t>2. Return a list of identifier pointing to invalid credential</t>
  </si>
  <si>
    <t>0x0209</t>
  </si>
  <si>
    <t>Verify Vehicle Information</t>
  </si>
  <si>
    <t> Verify and Import vehicle info (VIN, car type, car platform ..) to be ready for use in T-Box</t>
  </si>
  <si>
    <t xml:space="preserve">0x01: fail </t>
  </si>
  <si>
    <t>0x020B</t>
  </si>
  <si>
    <t>Realize Public Data</t>
  </si>
  <si>
    <t>List of invalid DID</t>
  </si>
  <si>
    <t>1. Only returning an empty list (response = 71, 01, 02, 0B) means that all public information are ready to use.</t>
  </si>
  <si>
    <t>2. Return a list of identifier pointing to invalid public data (missing or invalid value).</t>
  </si>
  <si>
    <t>0xF176=AmazonRootCA</t>
  </si>
  <si>
    <t>0xF178=AWSEndPointAddress</t>
  </si>
  <si>
    <t>0x020C</t>
  </si>
  <si>
    <t>Check Ecall Mic</t>
  </si>
  <si>
    <t>Use to check functionality of Ecall microphone</t>
  </si>
  <si>
    <t>0x020D</t>
  </si>
  <si>
    <t>Check Ecall LED</t>
  </si>
  <si>
    <t>"type=texttable
0x00=Turn ON SOS LED
0x01=Turn OFF SOS LED
0x02=Return control to eCall function</t>
  </si>
  <si>
    <t>Use to check functionality of Ecall Led Blinking</t>
  </si>
  <si>
    <t>Coding  Session</t>
  </si>
  <si>
    <t>0x0200</t>
  </si>
  <si>
    <t>Check CDS Coding State</t>
  </si>
  <si>
    <t>L3</t>
  </si>
  <si>
    <t>End of PDU</t>
  </si>
  <si>
    <t>type=MinMaxLengthType</t>
  </si>
  <si>
    <t>1. Only returning an empty list (response = 71, 01, 02, 00) means that the ECU’s state is "Coding
valid". (CodingStateFlag= codingValid)
2. Return a list of identifier pointing to invalid coding data.(CodingStateFlag= CodingInvalid)
0xF10A=CDSFingerprintInvalid
0xF108=CodingDataStringInvalid</t>
  </si>
  <si>
    <t>0x0201</t>
  </si>
  <si>
    <t>Check VOD Coding State</t>
  </si>
  <si>
    <t>1. Only returning an empty list (response = 71, 01, 02, 01) means that the ECU’s state is "VOD valid". (VODStateFlag= VODValid)
2. Return a list of identifier pointing to invalid coding data.(CodingStateFlag= CodingInvalid)
0xF113=VODFingerprintInvalid
0xF111=FactoryVODDataStringInvalid
0xF112=CurrentVODDataStringInvalid</t>
  </si>
  <si>
    <t>0x020A</t>
  </si>
  <si>
    <t>Start AutoCalibration Function</t>
  </si>
  <si>
    <t>REQ</t>
  </si>
  <si>
    <t>RESP</t>
  </si>
  <si>
    <t>Stop AutoCalibration Function</t>
  </si>
  <si>
    <t>03</t>
  </si>
  <si>
    <t>Check AutoCalibration Result</t>
  </si>
  <si>
    <t>0x01=calibration success</t>
  </si>
  <si>
    <t xml:space="preserve">0x02=uncalibrated or calibrated fail </t>
  </si>
  <si>
    <t>0xF030</t>
  </si>
  <si>
    <t xml:space="preserve">Start CheckCalibrationPreConditions </t>
  </si>
  <si>
    <t>type=texttable
0x00=SVM system is active
0x01=SVM system is not active</t>
  </si>
  <si>
    <t>type=texttable
0x00=Park or Neutral gear
0x02=Gear is not in park or neutral</t>
  </si>
  <si>
    <t>type=texttable
0x00=Voltage conditions are met
0x03=Under or above calibration voltage(9.0V~16V)</t>
  </si>
  <si>
    <t>type=texttable
0x00=SVM system OK
0x04=SVM system fault</t>
  </si>
  <si>
    <t>routineStatus#5</t>
  </si>
  <si>
    <t>type=texttable
0x00=Starting key is OK
0x05=Starting key is not ignition</t>
  </si>
  <si>
    <t>routineStatus#6</t>
  </si>
  <si>
    <t>type=texttable
0x00=Gear position is OK
0x06=Gear position is fail</t>
  </si>
  <si>
    <t>routineStatus#7</t>
  </si>
  <si>
    <t>type=texttable
0x00=Vehicle speed is 0km
0x07=Vehicle speed is not 0km</t>
  </si>
  <si>
    <t>routineStatus#8</t>
  </si>
  <si>
    <t>type=texttable
0x00=Steering angle is valid
0x08=Steering angle is not valid</t>
  </si>
  <si>
    <t>routineStatus#9</t>
  </si>
  <si>
    <t>type=texttable
0x00=All doors is closed
0x09=All doors is not closed</t>
  </si>
  <si>
    <t>routineStatus#10</t>
  </si>
  <si>
    <t>type=texttable
0x00=Hood is closed
0x0A=Hood is not closed</t>
  </si>
  <si>
    <t>routineStatus#11</t>
  </si>
  <si>
    <t>type=texttable
0x00=Side mirrorrs is unfolded
0x0B=Side mirrorrs is not unfolded</t>
  </si>
  <si>
    <t>routineStatus#12</t>
  </si>
  <si>
    <t>type=texttable
0x00=All lamps and turn signal are off
0x0C=All lamps and turn signal are not off</t>
  </si>
  <si>
    <t>routineStatus#13</t>
  </si>
  <si>
    <t>type=texttable
0x00=Tire inflation pressure is normal
0x0D=Tire inflation pressure is not normal</t>
  </si>
  <si>
    <t>0xF033</t>
  </si>
  <si>
    <t>Start ManualCalibration function</t>
  </si>
  <si>
    <t>Stop ManualCalibration function</t>
  </si>
  <si>
    <t>Check ManualCalibration Result</t>
  </si>
  <si>
    <t>0x0214</t>
  </si>
  <si>
    <t>Set TBOX datetime (UTC+0)</t>
  </si>
  <si>
    <t>type=texttable
0x00=pass
Others=Failed, with error code</t>
  </si>
  <si>
    <t>0: Pass
1: Failed, Unknown error
2: Failed, not ready</t>
  </si>
  <si>
    <t>0x0215</t>
  </si>
  <si>
    <t>Get TBOX challenge code</t>
  </si>
  <si>
    <t>Challenge code</t>
  </si>
  <si>
    <t>Random challenge code (6 bytes). All zero if failed</t>
  </si>
  <si>
    <t>Current time (in ms, UTC+0)</t>
  </si>
  <si>
    <t>Current TBOX date time in ms (UTC+0). All zero if failed</t>
  </si>
  <si>
    <t>0x0216</t>
  </si>
  <si>
    <t>Clear TBOX provision data advance</t>
  </si>
  <si>
    <t>Clear type</t>
  </si>
  <si>
    <r>
      <rPr>
        <sz val="10"/>
        <rFont val="Arial"/>
        <family val="2"/>
      </rPr>
      <t xml:space="preserve">type=texttable
0x00=All
0x01=Provision data only whole eCockpit
0x02=provision data MHU
0x03=provision data ADAS
</t>
    </r>
    <r>
      <rPr>
        <b/>
        <sz val="10"/>
        <rFont val="Arial"/>
        <family val="2"/>
      </rPr>
      <t>0x04=BCM Handshake
0x05=ADAS Handshake</t>
    </r>
  </si>
  <si>
    <t>Scope of data to be clear
0: Clear all provision data, including TBOX kepair, CSR, ...
1: Clear only eCockpit provision data (FOTA key, bootstrap cert, etc.). TBOX keypair/CSR is still kept
2: Clear only ADAS provision data. TBOX keypair/CSR is still kept
3: Clear only MHU provision data. TBOX keypair/CSR is still kept</t>
  </si>
  <si>
    <t>Authen type</t>
  </si>
  <si>
    <t>type=texttable
0x00=TOTP
0x01=Secure boot keyl</t>
  </si>
  <si>
    <t>Authen type:
0: Authen using TOTP
1: Authen using secure boot key</t>
  </si>
  <si>
    <t>Authen data</t>
  </si>
  <si>
    <t>Authen data, depend on authen type, max 3070 bytes
* TOTP type:
- Byte 5-10: TOTP (6 bytes)
- Byte 11-18: Host date time in ms, UTC+0 (8 bytes)
* Secure boot key type:
- Byte 5-260: Signed data of challenge code (256 bytes)
- Byte 261-end: Secure boot root CA or hash of CA (max 2048 bytes)</t>
  </si>
  <si>
    <t>type=texttable
0x00=pass
0x00=Failed, with error code</t>
  </si>
  <si>
    <t>0: Pass
1: Failed, Unknown error
2: Failed, not ready
3: Failed, prohibit</t>
  </si>
  <si>
    <t>0x0212</t>
  </si>
  <si>
    <t>Clear provision data standard</t>
  </si>
  <si>
    <t>type=identical
0x00=All
0x01=Provision data and client provisioning only
0x02=Provision data of all clients only.
0x03=provision data MHU
0x04=provision data ADAS</t>
  </si>
  <si>
    <t>Scope of data to be clear
0: Clear all provision data, including TBOX kepair, CSR, ...
1: Provision data only whole clients and TBOX provision data. TBOX keypair/CSR is still kept
2. Clear all client provision data
3: Clear only ADAS provision data.
4: Clear only MHU provision data.</t>
  </si>
  <si>
    <t>type=identical
0x0=success
0x1=fail</t>
  </si>
  <si>
    <t>Get result of clearing provision data standard</t>
  </si>
  <si>
    <t>0x0213</t>
  </si>
  <si>
    <t>Start Key-learning with supported client (ADAS/BCM,…)</t>
  </si>
  <si>
    <t>target ECU ID</t>
  </si>
  <si>
    <t>4</t>
  </si>
  <si>
    <t>0</t>
  </si>
  <si>
    <t>8</t>
  </si>
  <si>
    <t>type=identical
0x00=all supported clients
others: ECU ID
examples: 
0x01=BCM
0x40=ADAS</t>
  </si>
  <si>
    <t>Exit Key-learning with supported client (ADAS/BCM,…)</t>
  </si>
  <si>
    <t>None</t>
  </si>
  <si>
    <t>Get result of Key-learning with supported client (ADAS/BCM,…)</t>
  </si>
  <si>
    <t>0x00: success
Others: failed with indicated ECU IDs (1 ECU ID per 1 byte following)</t>
  </si>
  <si>
    <t>0x0217</t>
  </si>
  <si>
    <t>Check USB connector between MHU and Tbox</t>
  </si>
  <si>
    <t>type=texttable
0x0=USB connector between MHU and Tbox Not OK
0x1=USB connector between MHU and Tbox OK</t>
  </si>
  <si>
    <t>0x0218</t>
  </si>
  <si>
    <t>Clear Data GPS</t>
  </si>
  <si>
    <t>0x021B</t>
  </si>
  <si>
    <t>ClearWarningHistory</t>
  </si>
  <si>
    <t>0x021C</t>
  </si>
  <si>
    <t>ClearOnBoarding</t>
  </si>
  <si>
    <t>0x021D</t>
  </si>
  <si>
    <t>Start Store Android Bug Report</t>
  </si>
  <si>
    <t>Get Result of Store Android Bug Report</t>
  </si>
  <si>
    <t>type=texttable
0x0: Store log failure
0x1: Store log sucessful
0x2: Store log processing
0x3: Still not trigger store log</t>
  </si>
  <si>
    <t>0x0220</t>
  </si>
  <si>
    <t>Start Factory reset</t>
  </si>
  <si>
    <t>Clear all user data (Contact, favorite,…) and pairing history</t>
  </si>
  <si>
    <t>0x0222</t>
  </si>
  <si>
    <t>Start CheckADASCamera</t>
  </si>
  <si>
    <t>type=texttable
0x1=success
0x0=fail</t>
  </si>
  <si>
    <t>Stop CheckADASCamera</t>
  </si>
  <si>
    <t>0x0223</t>
  </si>
  <si>
    <t>Disable Disclaimer Popup</t>
  </si>
  <si>
    <t>0x0224</t>
  </si>
  <si>
    <t>MHU Select Profile</t>
  </si>
  <si>
    <t>Select Profile</t>
  </si>
  <si>
    <t>type=texttable
0x0=Primary
0x1=Guess</t>
  </si>
  <si>
    <t>type=texttable
0x0 = fail
0x1 = success
0xFF= Invalid</t>
  </si>
  <si>
    <t>Return Invalid if Select Profile input is not Primary/Guess</t>
  </si>
  <si>
    <t>0x0321</t>
  </si>
  <si>
    <t>Check LTE RX Diversity antenna</t>
  </si>
  <si>
    <t>Band test
0x1=Band 1
0x2=Band 2
0x3=Band 3
0x4=Band 4
0x5=Band 5
0x7=Band 7
0x8=Band 8
0x14=Band 20
0x1C=Band 28
0x26=Band 38
0x28=Band 40</t>
  </si>
  <si>
    <t>0x0322</t>
  </si>
  <si>
    <t>Check GSM</t>
  </si>
  <si>
    <t>Mode test
0x00: TX
0x01: RX</t>
  </si>
  <si>
    <t>Band test
0x01=GSM850
0x02=GSM900
0x03=GSM1800
0x04=GSM1900</t>
  </si>
  <si>
    <t>type=texttable
0x00=Fail
0x01=pass</t>
  </si>
  <si>
    <t>If mode = TX return 0x00 00 00 00
If mode = RX return RSSI</t>
  </si>
  <si>
    <t>0x0323</t>
  </si>
  <si>
    <t>Check WCMDA</t>
  </si>
  <si>
    <t>Band test
0x01=WCDMA BAND1
0x02=WCDMA BAND2
0x03=WCDMA BAND3
0x04=WCDMA BAND4
0x05=WCDMA BAND5
0x06=WCDMA BAND6
0x07=WCDMA BAND7
0x08=WCDMA BAND8
0x09=WCDMA BAND9
0x0B=WCDMA BAND11
0x13=WCDMA BAND19</t>
  </si>
  <si>
    <t>0x0324</t>
  </si>
  <si>
    <t>Redirect QXDM log</t>
  </si>
  <si>
    <t>Start redirect QXDM log to TBOX log</t>
  </si>
  <si>
    <t>Stop redirect QXDM log to TBOX log</t>
  </si>
  <si>
    <t>0x0325</t>
  </si>
  <si>
    <t>Clear FOTA FailSafe state</t>
  </si>
  <si>
    <t>0x031B</t>
  </si>
  <si>
    <t>CheckPlayIpcSpeaker</t>
  </si>
  <si>
    <t>type=texttable
0x00: Ipc Speaker</t>
  </si>
  <si>
    <t>0x030F</t>
  </si>
  <si>
    <t>ResetODO</t>
  </si>
  <si>
    <t>Current ODO Value</t>
  </si>
  <si>
    <t>Total Accumulated Reset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</si>
</sst>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name val="Arial"/>
      <charset val="134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i/>
      <sz val="11"/>
      <color indexed="23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202124"/>
      <name val="Arial"/>
      <family val="2"/>
    </font>
    <font>
      <b/>
      <sz val="10"/>
      <name val="Arial"/>
      <family val="2"/>
    </font>
    <font>
      <sz val="10"/>
      <color rgb="FFA6A6A6"/>
      <name val="Arial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0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2F2F2"/>
      </patternFill>
    </fill>
    <fill>
      <patternFill patternType="solid">
        <fgColor indexed="1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rgb="FF993300"/>
      </patternFill>
    </fill>
    <fill>
      <patternFill patternType="solid">
        <fgColor rgb="FFFF0000"/>
        <bgColor rgb="FF99334B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0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5" fillId="3" borderId="0" applyNumberFormat="0" applyBorder="0" applyAlignment="0" applyProtection="0"/>
    <xf numFmtId="0" fontId="8" fillId="0" borderId="0"/>
    <xf numFmtId="0" fontId="10" fillId="0" borderId="0" applyNumberFormat="0" applyFill="0" applyBorder="0" applyAlignment="0" applyProtection="0"/>
  </cellStyleXfs>
  <cellXfs count="254">
    <xf numFmtId="0" fontId="0" fillId="0" borderId="0" xfId="0"/>
    <xf numFmtId="0" fontId="2" fillId="0" borderId="0" xfId="2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6" fillId="4" borderId="1" xfId="3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6" fillId="0" borderId="1" xfId="3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 wrapText="1"/>
    </xf>
    <xf numFmtId="0" fontId="3" fillId="6" borderId="1" xfId="4" applyFont="1" applyFill="1" applyBorder="1" applyAlignment="1">
      <alignment horizontal="center" vertical="center"/>
    </xf>
    <xf numFmtId="0" fontId="3" fillId="6" borderId="1" xfId="4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9" fontId="6" fillId="0" borderId="2" xfId="3" applyNumberFormat="1" applyFont="1" applyFill="1" applyBorder="1" applyAlignment="1">
      <alignment horizontal="center" vertical="center"/>
    </xf>
    <xf numFmtId="49" fontId="6" fillId="0" borderId="1" xfId="3" applyNumberFormat="1" applyFont="1" applyFill="1" applyBorder="1" applyAlignment="1">
      <alignment vertical="top" wrapText="1"/>
    </xf>
    <xf numFmtId="0" fontId="6" fillId="0" borderId="1" xfId="3" applyFont="1" applyFill="1" applyBorder="1" applyAlignment="1">
      <alignment vertical="top" wrapText="1"/>
    </xf>
    <xf numFmtId="0" fontId="6" fillId="0" borderId="1" xfId="3" applyFont="1" applyFill="1" applyBorder="1" applyAlignment="1">
      <alignment horizontal="left" vertical="center" wrapText="1"/>
    </xf>
    <xf numFmtId="0" fontId="6" fillId="0" borderId="1" xfId="3" applyFont="1" applyFill="1" applyBorder="1" applyAlignment="1">
      <alignment horizontal="center" vertical="center"/>
    </xf>
    <xf numFmtId="0" fontId="6" fillId="0" borderId="1" xfId="3" applyFont="1" applyFill="1" applyBorder="1" applyAlignment="1">
      <alignment vertical="center" wrapText="1"/>
    </xf>
    <xf numFmtId="0" fontId="6" fillId="0" borderId="1" xfId="3" applyFont="1" applyFill="1" applyBorder="1" applyAlignment="1">
      <alignment horizontal="left" vertical="center"/>
    </xf>
    <xf numFmtId="0" fontId="0" fillId="8" borderId="1" xfId="1" applyFont="1" applyFill="1" applyBorder="1" applyAlignment="1">
      <alignment horizontal="center" vertical="center" wrapText="1"/>
    </xf>
    <xf numFmtId="0" fontId="6" fillId="0" borderId="3" xfId="3" applyFont="1" applyFill="1" applyBorder="1"/>
    <xf numFmtId="49" fontId="6" fillId="0" borderId="3" xfId="3" applyNumberFormat="1" applyFont="1" applyFill="1" applyBorder="1" applyAlignment="1">
      <alignment horizontal="center" vertical="center"/>
    </xf>
    <xf numFmtId="0" fontId="6" fillId="0" borderId="1" xfId="3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6" fillId="0" borderId="1" xfId="3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1" xfId="0" quotePrefix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5" xfId="0" applyBorder="1" applyAlignment="1">
      <alignment horizontal="left" vertical="center" wrapText="1"/>
    </xf>
    <xf numFmtId="0" fontId="0" fillId="7" borderId="1" xfId="0" applyFill="1" applyBorder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left" wrapText="1"/>
    </xf>
    <xf numFmtId="0" fontId="0" fillId="9" borderId="1" xfId="0" applyFill="1" applyBorder="1"/>
    <xf numFmtId="0" fontId="0" fillId="9" borderId="1" xfId="0" applyFill="1" applyBorder="1" applyAlignment="1">
      <alignment wrapText="1"/>
    </xf>
    <xf numFmtId="49" fontId="0" fillId="8" borderId="1" xfId="1" applyNumberFormat="1" applyFont="1" applyFill="1" applyBorder="1" applyAlignment="1">
      <alignment horizontal="center" vertical="center"/>
    </xf>
    <xf numFmtId="0" fontId="0" fillId="8" borderId="1" xfId="1" applyFont="1" applyFill="1" applyBorder="1" applyAlignment="1">
      <alignment horizontal="center" vertical="center"/>
    </xf>
    <xf numFmtId="0" fontId="0" fillId="8" borderId="1" xfId="1" applyFont="1" applyFill="1" applyBorder="1" applyAlignment="1">
      <alignment horizontal="left" vertical="center" wrapText="1"/>
    </xf>
    <xf numFmtId="0" fontId="0" fillId="8" borderId="1" xfId="1" applyFont="1" applyFill="1" applyBorder="1" applyAlignment="1">
      <alignment horizontal="left" vertical="center"/>
    </xf>
    <xf numFmtId="0" fontId="12" fillId="8" borderId="1" xfId="1" applyFont="1" applyFill="1" applyBorder="1" applyAlignment="1">
      <alignment horizontal="left" vertical="center" wrapText="1"/>
    </xf>
    <xf numFmtId="0" fontId="12" fillId="8" borderId="1" xfId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49" fontId="0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left" vertical="center" wrapText="1"/>
    </xf>
    <xf numFmtId="0" fontId="0" fillId="0" borderId="1" xfId="1" applyFont="1" applyBorder="1" applyAlignment="1">
      <alignment horizontal="left" vertical="center"/>
    </xf>
    <xf numFmtId="0" fontId="12" fillId="0" borderId="1" xfId="1" applyFont="1" applyBorder="1" applyAlignment="1">
      <alignment horizontal="left" vertical="center" wrapText="1"/>
    </xf>
    <xf numFmtId="0" fontId="0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left" vertical="center"/>
    </xf>
    <xf numFmtId="0" fontId="12" fillId="0" borderId="1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left" vertical="center"/>
    </xf>
    <xf numFmtId="0" fontId="0" fillId="0" borderId="1" xfId="1" applyFont="1" applyFill="1" applyBorder="1" applyAlignment="1">
      <alignment horizontal="center" vertical="center" wrapText="1"/>
    </xf>
    <xf numFmtId="49" fontId="6" fillId="0" borderId="1" xfId="3" applyNumberFormat="1" applyFont="1" applyFill="1" applyBorder="1" applyAlignment="1">
      <alignment horizontal="center" vertical="center"/>
    </xf>
    <xf numFmtId="0" fontId="12" fillId="0" borderId="1" xfId="1" applyFont="1" applyFill="1" applyBorder="1" applyAlignment="1">
      <alignment horizontal="left" vertical="top" wrapText="1"/>
    </xf>
    <xf numFmtId="0" fontId="12" fillId="0" borderId="1" xfId="1" applyFont="1" applyFill="1" applyBorder="1" applyAlignment="1">
      <alignment horizontal="left" vertical="center" wrapText="1"/>
    </xf>
    <xf numFmtId="0" fontId="6" fillId="0" borderId="1" xfId="3" applyFont="1" applyFill="1" applyBorder="1"/>
    <xf numFmtId="0" fontId="12" fillId="0" borderId="1" xfId="1" applyFont="1" applyFill="1" applyBorder="1" applyAlignment="1">
      <alignment horizontal="left" vertical="center"/>
    </xf>
    <xf numFmtId="49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0" fillId="0" borderId="4" xfId="0" applyBorder="1" applyAlignment="1">
      <alignment horizontal="center" wrapText="1"/>
    </xf>
    <xf numFmtId="0" fontId="6" fillId="0" borderId="1" xfId="3" applyFont="1" applyFill="1" applyBorder="1" applyAlignment="1">
      <alignment horizontal="center" vertical="top" wrapText="1"/>
    </xf>
    <xf numFmtId="0" fontId="12" fillId="0" borderId="1" xfId="0" applyFont="1" applyBorder="1" applyAlignment="1">
      <alignment vertical="center" wrapText="1"/>
    </xf>
    <xf numFmtId="49" fontId="0" fillId="8" borderId="1" xfId="1" applyNumberFormat="1" applyFont="1" applyFill="1" applyBorder="1" applyAlignment="1">
      <alignment horizontal="center" vertical="center" wrapText="1"/>
    </xf>
    <xf numFmtId="49" fontId="0" fillId="0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1" borderId="1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4" xfId="0" applyFont="1" applyBorder="1" applyAlignment="1">
      <alignment horizontal="center" vertical="center" wrapText="1"/>
    </xf>
    <xf numFmtId="0" fontId="12" fillId="11" borderId="5" xfId="0" applyFont="1" applyFill="1" applyBorder="1" applyAlignment="1">
      <alignment wrapText="1"/>
    </xf>
    <xf numFmtId="0" fontId="12" fillId="11" borderId="5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vertical="center" wrapText="1"/>
    </xf>
    <xf numFmtId="49" fontId="0" fillId="0" borderId="1" xfId="1" applyNumberFormat="1" applyFont="1" applyFill="1" applyBorder="1" applyAlignment="1">
      <alignment horizontal="left" vertical="top" wrapText="1"/>
    </xf>
    <xf numFmtId="0" fontId="15" fillId="0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3" xfId="0" applyBorder="1" applyAlignment="1">
      <alignment horizontal="left" vertical="top" wrapText="1"/>
    </xf>
    <xf numFmtId="0" fontId="0" fillId="0" borderId="5" xfId="0" applyBorder="1" applyAlignment="1">
      <alignment vertical="top" wrapText="1"/>
    </xf>
    <xf numFmtId="0" fontId="12" fillId="0" borderId="5" xfId="0" applyFont="1" applyBorder="1" applyAlignment="1">
      <alignment wrapText="1"/>
    </xf>
    <xf numFmtId="0" fontId="0" fillId="12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wrapText="1"/>
    </xf>
    <xf numFmtId="0" fontId="0" fillId="12" borderId="4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wrapText="1"/>
    </xf>
    <xf numFmtId="0" fontId="8" fillId="6" borderId="1" xfId="4" applyFill="1" applyBorder="1" applyAlignment="1">
      <alignment horizontal="center" vertical="center" wrapText="1"/>
    </xf>
    <xf numFmtId="0" fontId="8" fillId="6" borderId="1" xfId="4" applyFill="1" applyBorder="1" applyAlignment="1">
      <alignment horizontal="left" vertical="top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top" wrapText="1"/>
    </xf>
    <xf numFmtId="0" fontId="0" fillId="7" borderId="1" xfId="0" applyFill="1" applyBorder="1" applyAlignment="1">
      <alignment vertical="top"/>
    </xf>
    <xf numFmtId="0" fontId="8" fillId="6" borderId="1" xfId="4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3" applyFont="1" applyFill="1" applyBorder="1" applyAlignment="1">
      <alignment horizontal="center" vertical="top"/>
    </xf>
    <xf numFmtId="0" fontId="6" fillId="0" borderId="1" xfId="3" applyFont="1" applyFill="1" applyBorder="1" applyAlignment="1">
      <alignment horizontal="left" vertical="top"/>
    </xf>
    <xf numFmtId="0" fontId="6" fillId="0" borderId="1" xfId="3" applyFont="1" applyFill="1" applyBorder="1" applyAlignment="1">
      <alignment vertical="top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top" wrapText="1"/>
    </xf>
    <xf numFmtId="49" fontId="0" fillId="0" borderId="1" xfId="0" applyNumberFormat="1" applyBorder="1" applyAlignment="1">
      <alignment horizontal="center" vertical="top" wrapText="1"/>
    </xf>
    <xf numFmtId="0" fontId="8" fillId="7" borderId="1" xfId="4" applyFill="1" applyBorder="1" applyAlignment="1">
      <alignment horizontal="center" vertical="center" wrapText="1"/>
    </xf>
    <xf numFmtId="0" fontId="8" fillId="7" borderId="1" xfId="4" applyFill="1" applyBorder="1" applyAlignment="1">
      <alignment horizontal="left" vertical="top" wrapText="1"/>
    </xf>
    <xf numFmtId="0" fontId="8" fillId="0" borderId="1" xfId="4" applyBorder="1" applyAlignment="1">
      <alignment horizontal="center" vertical="center" wrapText="1"/>
    </xf>
    <xf numFmtId="0" fontId="8" fillId="0" borderId="1" xfId="4" applyBorder="1" applyAlignment="1">
      <alignment vertical="top" wrapText="1"/>
    </xf>
    <xf numFmtId="0" fontId="8" fillId="0" borderId="1" xfId="4" applyBorder="1" applyAlignment="1">
      <alignment horizontal="left" vertical="top" wrapText="1"/>
    </xf>
    <xf numFmtId="0" fontId="0" fillId="0" borderId="1" xfId="0" applyBorder="1" applyAlignment="1">
      <alignment vertical="center"/>
    </xf>
    <xf numFmtId="0" fontId="6" fillId="0" borderId="1" xfId="3" applyFont="1" applyFill="1" applyBorder="1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3" xfId="0" applyBorder="1" applyAlignment="1">
      <alignment horizontal="center" vertical="top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0" fillId="14" borderId="1" xfId="1" applyFont="1" applyFill="1" applyBorder="1" applyAlignment="1">
      <alignment horizontal="left" vertical="center"/>
    </xf>
    <xf numFmtId="0" fontId="0" fillId="14" borderId="1" xfId="1" applyFont="1" applyFill="1" applyBorder="1" applyAlignment="1">
      <alignment horizontal="center" vertical="center" wrapText="1"/>
    </xf>
    <xf numFmtId="0" fontId="0" fillId="14" borderId="1" xfId="1" applyFont="1" applyFill="1" applyBorder="1" applyAlignment="1">
      <alignment horizontal="left" vertical="center" wrapText="1"/>
    </xf>
    <xf numFmtId="49" fontId="0" fillId="0" borderId="1" xfId="1" applyNumberFormat="1" applyFont="1" applyFill="1" applyBorder="1" applyAlignment="1">
      <alignment horizontal="left" vertical="center" wrapText="1"/>
    </xf>
    <xf numFmtId="0" fontId="0" fillId="0" borderId="1" xfId="1" applyFont="1" applyFill="1" applyBorder="1" applyAlignment="1">
      <alignment horizontal="center" vertical="center" wrapText="1"/>
    </xf>
    <xf numFmtId="0" fontId="0" fillId="0" borderId="1" xfId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top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6" xfId="0" applyBorder="1"/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3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49" fontId="0" fillId="5" borderId="1" xfId="0" applyNumberForma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1" xfId="1" applyNumberFormat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49" fontId="0" fillId="0" borderId="1" xfId="1" applyNumberFormat="1" applyFont="1" applyBorder="1" applyAlignment="1">
      <alignment horizontal="left" vertical="center"/>
    </xf>
    <xf numFmtId="49" fontId="0" fillId="0" borderId="1" xfId="1" applyNumberFormat="1" applyFont="1" applyBorder="1" applyAlignment="1">
      <alignment horizontal="left" vertical="center" wrapText="1"/>
    </xf>
    <xf numFmtId="0" fontId="0" fillId="14" borderId="1" xfId="1" applyFont="1" applyFill="1" applyBorder="1" applyAlignment="1">
      <alignment horizontal="center" vertical="center"/>
    </xf>
    <xf numFmtId="49" fontId="0" fillId="0" borderId="1" xfId="1" applyNumberFormat="1" applyFont="1" applyFill="1" applyBorder="1" applyAlignment="1">
      <alignment horizontal="left" vertical="center"/>
    </xf>
    <xf numFmtId="0" fontId="0" fillId="0" borderId="1" xfId="3" applyFont="1" applyFill="1" applyBorder="1" applyAlignment="1">
      <alignment vertical="top" wrapText="1"/>
    </xf>
    <xf numFmtId="0" fontId="0" fillId="0" borderId="1" xfId="3" applyFont="1" applyFill="1" applyBorder="1" applyAlignment="1">
      <alignment horizontal="left" vertical="center" wrapText="1"/>
    </xf>
    <xf numFmtId="0" fontId="0" fillId="0" borderId="1" xfId="3" applyFont="1" applyFill="1" applyBorder="1" applyAlignment="1">
      <alignment horizontal="center" vertical="center"/>
    </xf>
    <xf numFmtId="0" fontId="0" fillId="0" borderId="1" xfId="5" quotePrefix="1" applyFont="1" applyFill="1" applyBorder="1" applyAlignment="1">
      <alignment horizontal="left" vertical="top" wrapText="1"/>
    </xf>
    <xf numFmtId="0" fontId="0" fillId="0" borderId="1" xfId="3" applyFont="1" applyFill="1" applyBorder="1" applyAlignment="1">
      <alignment horizontal="left" vertical="center"/>
    </xf>
    <xf numFmtId="0" fontId="0" fillId="0" borderId="1" xfId="5" applyFont="1" applyFill="1" applyBorder="1" applyAlignment="1">
      <alignment horizontal="center" vertical="center" wrapText="1"/>
    </xf>
    <xf numFmtId="0" fontId="0" fillId="0" borderId="1" xfId="5" applyFont="1" applyFill="1" applyBorder="1" applyAlignment="1">
      <alignment horizontal="left" vertical="center" wrapText="1"/>
    </xf>
    <xf numFmtId="0" fontId="0" fillId="0" borderId="1" xfId="3" applyFont="1" applyFill="1" applyBorder="1"/>
    <xf numFmtId="49" fontId="0" fillId="0" borderId="1" xfId="3" applyNumberFormat="1" applyFont="1" applyFill="1" applyBorder="1" applyAlignment="1">
      <alignment horizontal="center" vertical="center"/>
    </xf>
    <xf numFmtId="49" fontId="0" fillId="0" borderId="1" xfId="3" applyNumberFormat="1" applyFont="1" applyFill="1" applyBorder="1" applyAlignment="1">
      <alignment vertical="top" wrapText="1"/>
    </xf>
    <xf numFmtId="0" fontId="0" fillId="0" borderId="1" xfId="3" applyFont="1" applyFill="1" applyBorder="1" applyAlignment="1">
      <alignment horizontal="center" vertical="center" wrapText="1"/>
    </xf>
    <xf numFmtId="0" fontId="0" fillId="0" borderId="1" xfId="3" applyFont="1" applyFill="1" applyBorder="1" applyAlignment="1">
      <alignment horizontal="center"/>
    </xf>
    <xf numFmtId="0" fontId="0" fillId="0" borderId="1" xfId="3" applyFont="1" applyFill="1" applyBorder="1" applyAlignment="1">
      <alignment horizontal="left" vertical="top" wrapText="1"/>
    </xf>
    <xf numFmtId="0" fontId="0" fillId="0" borderId="1" xfId="3" applyFont="1" applyFill="1" applyBorder="1" applyAlignment="1">
      <alignment vertical="center" wrapText="1"/>
    </xf>
    <xf numFmtId="0" fontId="0" fillId="0" borderId="1" xfId="5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2" xfId="0" applyFont="1" applyBorder="1"/>
    <xf numFmtId="49" fontId="0" fillId="0" borderId="2" xfId="3" applyNumberFormat="1" applyFont="1" applyFill="1" applyBorder="1" applyAlignment="1">
      <alignment horizontal="center" vertical="center"/>
    </xf>
    <xf numFmtId="49" fontId="0" fillId="0" borderId="2" xfId="3" applyNumberFormat="1" applyFont="1" applyFill="1" applyBorder="1" applyAlignment="1">
      <alignment vertical="top" wrapText="1"/>
    </xf>
    <xf numFmtId="0" fontId="0" fillId="0" borderId="2" xfId="3" applyFont="1" applyFill="1" applyBorder="1" applyAlignment="1">
      <alignment vertical="top" wrapText="1"/>
    </xf>
    <xf numFmtId="0" fontId="0" fillId="0" borderId="2" xfId="3" applyFont="1" applyFill="1" applyBorder="1" applyAlignment="1">
      <alignment horizontal="left" vertical="center" wrapText="1"/>
    </xf>
    <xf numFmtId="0" fontId="0" fillId="0" borderId="2" xfId="3" applyFont="1" applyFill="1" applyBorder="1" applyAlignment="1">
      <alignment horizontal="center" vertical="center"/>
    </xf>
    <xf numFmtId="0" fontId="0" fillId="0" borderId="2" xfId="3" applyFont="1" applyFill="1" applyBorder="1" applyAlignment="1">
      <alignment vertical="center" wrapText="1"/>
    </xf>
    <xf numFmtId="0" fontId="0" fillId="0" borderId="2" xfId="5" applyFont="1" applyFill="1" applyBorder="1" applyAlignment="1">
      <alignment horizontal="left" vertical="center"/>
    </xf>
    <xf numFmtId="0" fontId="0" fillId="0" borderId="2" xfId="3" applyFont="1" applyFill="1" applyBorder="1" applyAlignment="1">
      <alignment horizontal="center"/>
    </xf>
    <xf numFmtId="0" fontId="0" fillId="0" borderId="2" xfId="5" applyFont="1" applyFill="1" applyBorder="1" applyAlignment="1">
      <alignment horizontal="left" vertical="center" wrapText="1"/>
    </xf>
    <xf numFmtId="0" fontId="0" fillId="0" borderId="1" xfId="0" quotePrefix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left" vertical="center" wrapText="1"/>
    </xf>
  </cellXfs>
  <cellStyles count="6">
    <cellStyle name="20 % - Akzent1" xfId="3" xr:uid="{6120A751-C96B-4B91-A7C3-0E7FF4FD5073}"/>
    <cellStyle name="Explanatory Text" xfId="1" builtinId="53"/>
    <cellStyle name="Explanatory Text 2" xfId="5" xr:uid="{9248DD1B-E9BF-455D-A7C3-0495F1271C3E}"/>
    <cellStyle name="Heading 3 4 2 2" xfId="4" xr:uid="{E33214FF-37A6-4617-B215-7C91BA3B4416}"/>
    <cellStyle name="Hyperlink" xfId="2" builtinId="8"/>
    <cellStyle name="Normal" xfId="0" builtinId="0"/>
  </cellStyles>
  <dxfs count="8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37137</xdr:colOff>
      <xdr:row>19</xdr:row>
      <xdr:rowOff>12806</xdr:rowOff>
    </xdr:from>
    <xdr:to>
      <xdr:col>21</xdr:col>
      <xdr:colOff>181214</xdr:colOff>
      <xdr:row>26</xdr:row>
      <xdr:rowOff>121663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620BF05A-2C35-4245-94D9-407AA994F62B}"/>
            </a:ext>
          </a:extLst>
        </xdr:cNvPr>
        <xdr:cNvSpPr/>
      </xdr:nvSpPr>
      <xdr:spPr>
        <a:xfrm>
          <a:off x="16610637" y="10581746"/>
          <a:ext cx="3344477" cy="1335677"/>
        </a:xfrm>
        <a:prstGeom prst="leftArrow">
          <a:avLst/>
        </a:prstGeom>
        <a:solidFill>
          <a:srgbClr val="FFCC00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en-US" sz="1100"/>
            <a:t>Supplier Could Add more</a:t>
          </a:r>
          <a:r>
            <a:rPr lang="en-US" sz="1100" baseline="0"/>
            <a:t> ECU Routine Data here</a:t>
          </a:r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INTEGRATION\VF3\VF3_LHD_ODX\VF3%20MHU%20ODX\VF3_MHU_V1.1.0.07\MHU_ODX_EOL_AS_Merged_V1.0.26_20241202.xlsx" TargetMode="External"/><Relationship Id="rId1" Type="http://schemas.openxmlformats.org/officeDocument/2006/relationships/externalLinkPath" Target="/INTEGRATION/VF3/VF3_LHD_ODX/VF3%20MHU%20ODX/VF3_MHU_V1.1.0.07/MHU_ODX_EOL_AS_Merged_V1.0.26_2024120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fevglobal.sharepoint.com\Users\minhvt10\Desktop\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Priyanka\NEXON_EV_Working\Design\EOL\DTC\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Priyanka\NEXON_EV_Working\Design\EOL\DTC\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technologies-my.sharepoint.com\In\BCM\DID%20list\BCM_Specific_DID_List_v4.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mita.verma/Desktop/PIVI/Diagnostics/P2_IGM_L663_2020_00_V3.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tatamotors-my.sharepoint.com\Documents%20and%20Settings\dpp239883\Local%20Settings\Temporary%20Internet%20Files\Content.Outlook\W3FP3UYP\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fs-file02-vp\02_Hybrid&amp;EV\07_VinFast_EV\B_Car\02_Documents\04_CustomerDoc\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DID List"/>
      <sheetName val="ECU DTC-List"/>
      <sheetName val="Extended Data"/>
      <sheetName val="Routines Data (0x31) (2)"/>
      <sheetName val="Routines Data (0x31)"/>
      <sheetName val="Assembly Check"/>
      <sheetName val="Write VIN"/>
      <sheetName val="ECU Exchange"/>
      <sheetName val="Flashing Sequence"/>
      <sheetName val="VOD Coding"/>
      <sheetName val="CDS Coding"/>
      <sheetName val="IO Control (2F)"/>
      <sheetName val="Calibration Sequence"/>
      <sheetName val="Get-Telemetics-Identity"/>
      <sheetName val="ECUs handshake key-learning"/>
      <sheetName val="Activation HereMap"/>
      <sheetName val="Clear Warning History"/>
      <sheetName val="Dataflow"/>
      <sheetName val="Write FRS Number"/>
      <sheetName val="SVM Calibration"/>
      <sheetName val="Lock Provision Data"/>
      <sheetName val="Write-Provision-Data"/>
      <sheetName val="Clear Provision Data"/>
      <sheetName val="Remote Control Key Learn"/>
      <sheetName val="Store Android Bug Report"/>
      <sheetName val="RVC Calibration"/>
      <sheetName val="Rear Camera Test"/>
      <sheetName val="Reconfigure TotalMile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208A0-1B65-4679-A3CB-41BE6B2D8D69}">
  <sheetPr>
    <pageSetUpPr fitToPage="1"/>
  </sheetPr>
  <dimension ref="A1:P323"/>
  <sheetViews>
    <sheetView tabSelected="1" zoomScale="70" zoomScaleNormal="70" workbookViewId="0">
      <pane ySplit="2" topLeftCell="A270" activePane="bottomLeft" state="frozen"/>
      <selection pane="bottomLeft" activeCell="F298" sqref="F298"/>
    </sheetView>
  </sheetViews>
  <sheetFormatPr defaultColWidth="9.33203125" defaultRowHeight="14.25" customHeight="1"/>
  <cols>
    <col min="1" max="1" width="20.44140625" style="2" customWidth="1"/>
    <col min="2" max="2" width="12.6640625" style="2" customWidth="1"/>
    <col min="3" max="3" width="18" style="2" customWidth="1"/>
    <col min="4" max="4" width="34.5546875" style="3" customWidth="1"/>
    <col min="5" max="5" width="24.5546875" style="2" customWidth="1"/>
    <col min="6" max="6" width="32.6640625" style="3" customWidth="1"/>
    <col min="7" max="7" width="17.109375" style="2" hidden="1" customWidth="1"/>
    <col min="8" max="8" width="6.88671875" style="2" hidden="1" customWidth="1"/>
    <col min="9" max="9" width="10.109375" style="2" hidden="1" customWidth="1"/>
    <col min="10" max="10" width="20.6640625" style="2" hidden="1" customWidth="1"/>
    <col min="11" max="11" width="22.5546875" style="3" customWidth="1"/>
    <col min="12" max="12" width="6.5546875" style="2" hidden="1" customWidth="1"/>
    <col min="13" max="13" width="15.33203125" style="2" hidden="1" customWidth="1"/>
    <col min="14" max="14" width="12.6640625" style="2" hidden="1" customWidth="1"/>
    <col min="15" max="15" width="19.88671875" style="2" customWidth="1"/>
    <col min="16" max="16" width="56.33203125" style="2" customWidth="1"/>
    <col min="17" max="16384" width="9.33203125" style="2"/>
  </cols>
  <sheetData>
    <row r="1" spans="1:16" ht="14.25" customHeight="1">
      <c r="A1" s="1" t="s">
        <v>0</v>
      </c>
    </row>
    <row r="2" spans="1:16" ht="13.8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5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</row>
    <row r="3" spans="1:16" ht="26.4" customHeight="1">
      <c r="A3" s="6" t="s">
        <v>17</v>
      </c>
      <c r="B3" s="7" t="s">
        <v>18</v>
      </c>
      <c r="C3" s="7" t="s">
        <v>19</v>
      </c>
      <c r="D3" s="8" t="s">
        <v>20</v>
      </c>
      <c r="E3" s="7" t="s">
        <v>21</v>
      </c>
      <c r="F3" s="8"/>
      <c r="G3" s="7"/>
      <c r="H3" s="7"/>
      <c r="I3" s="7"/>
      <c r="J3" s="7"/>
      <c r="K3" s="9"/>
      <c r="L3" s="7"/>
      <c r="M3" s="6" t="s">
        <v>22</v>
      </c>
      <c r="N3" s="7"/>
      <c r="O3" s="10" t="s">
        <v>23</v>
      </c>
      <c r="P3" s="6" t="s">
        <v>24</v>
      </c>
    </row>
    <row r="4" spans="1:16" ht="109.95" customHeight="1">
      <c r="A4" s="7"/>
      <c r="B4" s="7"/>
      <c r="C4" s="7"/>
      <c r="D4" s="8"/>
      <c r="E4" s="7" t="s">
        <v>25</v>
      </c>
      <c r="F4" s="11" t="s">
        <v>26</v>
      </c>
      <c r="G4" s="12">
        <v>4</v>
      </c>
      <c r="H4" s="13">
        <v>0</v>
      </c>
      <c r="I4" s="13">
        <v>8</v>
      </c>
      <c r="J4" s="14" t="s">
        <v>27</v>
      </c>
      <c r="K4" s="9" t="s">
        <v>28</v>
      </c>
      <c r="L4" s="13"/>
      <c r="M4" s="6" t="s">
        <v>22</v>
      </c>
      <c r="N4" s="7"/>
      <c r="O4" s="15"/>
      <c r="P4" s="16"/>
    </row>
    <row r="5" spans="1:16" ht="69">
      <c r="A5" s="7"/>
      <c r="B5" s="7"/>
      <c r="C5" s="7"/>
      <c r="D5" s="8"/>
      <c r="E5" s="7"/>
      <c r="F5" s="11" t="s">
        <v>29</v>
      </c>
      <c r="G5" s="12">
        <v>5</v>
      </c>
      <c r="H5" s="13">
        <v>0</v>
      </c>
      <c r="I5" s="13">
        <v>8</v>
      </c>
      <c r="J5" s="14" t="s">
        <v>27</v>
      </c>
      <c r="K5" s="9" t="s">
        <v>30</v>
      </c>
      <c r="L5" s="13"/>
      <c r="M5" s="7"/>
      <c r="N5" s="7"/>
      <c r="O5" s="15"/>
      <c r="P5" s="6"/>
    </row>
    <row r="6" spans="1:16" ht="69">
      <c r="A6" s="7"/>
      <c r="B6" s="7"/>
      <c r="C6" s="7"/>
      <c r="D6" s="8"/>
      <c r="E6" s="7"/>
      <c r="F6" s="11" t="s">
        <v>31</v>
      </c>
      <c r="G6" s="12">
        <v>6</v>
      </c>
      <c r="H6" s="13">
        <v>0</v>
      </c>
      <c r="I6" s="13">
        <v>8</v>
      </c>
      <c r="J6" s="14" t="s">
        <v>27</v>
      </c>
      <c r="K6" s="9" t="s">
        <v>32</v>
      </c>
      <c r="L6" s="13"/>
      <c r="M6" s="7"/>
      <c r="N6" s="7"/>
      <c r="O6" s="15"/>
      <c r="P6" s="6"/>
    </row>
    <row r="7" spans="1:16" ht="82.8">
      <c r="A7" s="7"/>
      <c r="B7" s="7"/>
      <c r="C7" s="7"/>
      <c r="D7" s="8"/>
      <c r="E7" s="7"/>
      <c r="F7" s="11" t="s">
        <v>33</v>
      </c>
      <c r="G7" s="12">
        <v>7</v>
      </c>
      <c r="H7" s="13">
        <v>0</v>
      </c>
      <c r="I7" s="13">
        <v>8</v>
      </c>
      <c r="J7" s="14" t="s">
        <v>27</v>
      </c>
      <c r="K7" s="9" t="s">
        <v>34</v>
      </c>
      <c r="L7" s="13"/>
      <c r="M7" s="7"/>
      <c r="N7" s="7"/>
      <c r="O7" s="15"/>
      <c r="P7" s="6"/>
    </row>
    <row r="8" spans="1:16" ht="13.8">
      <c r="A8" s="17"/>
      <c r="B8" s="17"/>
      <c r="C8" s="17"/>
      <c r="D8" s="18"/>
      <c r="E8" s="17"/>
      <c r="F8" s="18"/>
      <c r="G8" s="17"/>
      <c r="H8" s="17"/>
      <c r="I8" s="17"/>
      <c r="J8" s="17"/>
      <c r="K8" s="18"/>
      <c r="L8" s="17"/>
      <c r="M8" s="19"/>
      <c r="N8" s="19"/>
      <c r="O8" s="19"/>
      <c r="P8" s="17"/>
    </row>
    <row r="9" spans="1:16" ht="41.4">
      <c r="A9" s="6" t="s">
        <v>35</v>
      </c>
      <c r="B9" s="20" t="s">
        <v>18</v>
      </c>
      <c r="C9" s="21" t="s">
        <v>36</v>
      </c>
      <c r="D9" s="9" t="s">
        <v>37</v>
      </c>
      <c r="E9" s="6" t="s">
        <v>21</v>
      </c>
      <c r="F9" s="9" t="s">
        <v>38</v>
      </c>
      <c r="G9" s="7">
        <v>4</v>
      </c>
      <c r="H9" s="7">
        <v>0</v>
      </c>
      <c r="I9" s="7">
        <v>8</v>
      </c>
      <c r="J9" s="6" t="s">
        <v>39</v>
      </c>
      <c r="K9" s="9" t="s">
        <v>40</v>
      </c>
      <c r="L9" s="7"/>
      <c r="M9" s="6" t="s">
        <v>41</v>
      </c>
      <c r="N9" s="7"/>
      <c r="O9" s="22" t="s">
        <v>23</v>
      </c>
      <c r="P9" s="6" t="s">
        <v>42</v>
      </c>
    </row>
    <row r="10" spans="1:16" ht="27.6">
      <c r="A10" s="20"/>
      <c r="B10" s="20"/>
      <c r="C10" s="21"/>
      <c r="D10" s="9"/>
      <c r="E10" s="6"/>
      <c r="F10" s="9" t="s">
        <v>43</v>
      </c>
      <c r="G10" s="7">
        <v>5</v>
      </c>
      <c r="H10" s="7">
        <v>0</v>
      </c>
      <c r="I10" s="7">
        <v>32</v>
      </c>
      <c r="J10" s="6" t="s">
        <v>39</v>
      </c>
      <c r="K10" s="9" t="s">
        <v>44</v>
      </c>
      <c r="L10" s="7"/>
      <c r="M10" s="6"/>
      <c r="N10" s="7"/>
      <c r="O10" s="7"/>
      <c r="P10" s="6"/>
    </row>
    <row r="11" spans="1:16" ht="27.6">
      <c r="A11" s="20"/>
      <c r="B11" s="20"/>
      <c r="C11" s="21"/>
      <c r="D11" s="9"/>
      <c r="E11" s="6"/>
      <c r="F11" s="9" t="s">
        <v>45</v>
      </c>
      <c r="G11" s="7">
        <v>9</v>
      </c>
      <c r="H11" s="7">
        <v>0</v>
      </c>
      <c r="I11" s="7">
        <v>32</v>
      </c>
      <c r="J11" s="6" t="s">
        <v>39</v>
      </c>
      <c r="K11" s="9" t="s">
        <v>44</v>
      </c>
      <c r="L11" s="7"/>
      <c r="M11" s="7"/>
      <c r="N11" s="7"/>
      <c r="O11" s="7"/>
      <c r="P11" s="6" t="s">
        <v>46</v>
      </c>
    </row>
    <row r="12" spans="1:16" ht="41.4">
      <c r="A12" s="20"/>
      <c r="B12" s="20"/>
      <c r="C12" s="20"/>
      <c r="D12" s="23"/>
      <c r="E12" s="6" t="s">
        <v>25</v>
      </c>
      <c r="F12" s="9" t="s">
        <v>47</v>
      </c>
      <c r="G12" s="7">
        <v>4</v>
      </c>
      <c r="H12" s="7">
        <v>0</v>
      </c>
      <c r="I12" s="7">
        <v>8</v>
      </c>
      <c r="J12" s="6" t="s">
        <v>27</v>
      </c>
      <c r="K12" s="9" t="s">
        <v>48</v>
      </c>
      <c r="L12" s="7"/>
      <c r="M12" s="6" t="s">
        <v>41</v>
      </c>
      <c r="N12" s="7"/>
      <c r="O12" s="7"/>
      <c r="P12" s="6" t="s">
        <v>24</v>
      </c>
    </row>
    <row r="13" spans="1:16" ht="13.8">
      <c r="A13" s="17"/>
      <c r="B13" s="17"/>
      <c r="C13" s="17"/>
      <c r="D13" s="18"/>
      <c r="E13" s="17"/>
      <c r="F13" s="18"/>
      <c r="G13" s="17"/>
      <c r="H13" s="17"/>
      <c r="I13" s="17"/>
      <c r="J13" s="17"/>
      <c r="K13" s="18"/>
      <c r="L13" s="17"/>
      <c r="M13" s="19"/>
      <c r="N13" s="19"/>
      <c r="O13" s="19"/>
      <c r="P13" s="17"/>
    </row>
    <row r="14" spans="1:16" ht="99" customHeight="1">
      <c r="A14" s="6" t="s">
        <v>35</v>
      </c>
      <c r="B14" s="20" t="s">
        <v>18</v>
      </c>
      <c r="C14" s="21" t="s">
        <v>49</v>
      </c>
      <c r="D14" s="9" t="s">
        <v>50</v>
      </c>
      <c r="E14" s="6" t="s">
        <v>21</v>
      </c>
      <c r="F14" s="9" t="s">
        <v>51</v>
      </c>
      <c r="G14" s="7">
        <v>4</v>
      </c>
      <c r="H14" s="7">
        <v>0</v>
      </c>
      <c r="I14" s="7">
        <v>32</v>
      </c>
      <c r="J14" s="24" t="s">
        <v>52</v>
      </c>
      <c r="K14" s="9" t="s">
        <v>44</v>
      </c>
      <c r="L14" s="7"/>
      <c r="M14" s="6" t="s">
        <v>41</v>
      </c>
      <c r="N14" s="7"/>
      <c r="O14" s="22" t="s">
        <v>23</v>
      </c>
      <c r="P14" s="6" t="s">
        <v>24</v>
      </c>
    </row>
    <row r="15" spans="1:16" ht="97.5" customHeight="1">
      <c r="A15" s="20"/>
      <c r="B15" s="20"/>
      <c r="C15" s="20"/>
      <c r="D15" s="23"/>
      <c r="E15" s="6" t="s">
        <v>25</v>
      </c>
      <c r="F15" s="9" t="s">
        <v>47</v>
      </c>
      <c r="G15" s="7">
        <v>4</v>
      </c>
      <c r="H15" s="7">
        <v>0</v>
      </c>
      <c r="I15" s="7">
        <v>8</v>
      </c>
      <c r="J15" s="6" t="s">
        <v>27</v>
      </c>
      <c r="K15" s="9" t="s">
        <v>48</v>
      </c>
      <c r="L15" s="7"/>
      <c r="M15" s="6" t="s">
        <v>41</v>
      </c>
      <c r="N15" s="7"/>
      <c r="O15" s="7"/>
      <c r="P15" s="7"/>
    </row>
    <row r="16" spans="1:16" ht="13.8">
      <c r="A16" s="17"/>
      <c r="B16" s="17"/>
      <c r="C16" s="17"/>
      <c r="D16" s="18"/>
      <c r="E16" s="17"/>
      <c r="F16" s="18"/>
      <c r="G16" s="17"/>
      <c r="H16" s="17"/>
      <c r="I16" s="17"/>
      <c r="J16" s="17"/>
      <c r="K16" s="18"/>
      <c r="L16" s="17"/>
      <c r="M16" s="19"/>
      <c r="N16" s="19"/>
      <c r="O16" s="19"/>
      <c r="P16" s="17"/>
    </row>
    <row r="17" spans="1:16" ht="99.75" customHeight="1">
      <c r="A17" s="6" t="s">
        <v>35</v>
      </c>
      <c r="B17" s="20" t="s">
        <v>18</v>
      </c>
      <c r="C17" s="21" t="s">
        <v>53</v>
      </c>
      <c r="D17" s="9" t="s">
        <v>54</v>
      </c>
      <c r="E17" s="6" t="s">
        <v>21</v>
      </c>
      <c r="F17" s="9"/>
      <c r="G17" s="25"/>
      <c r="H17" s="7"/>
      <c r="I17" s="7"/>
      <c r="J17" s="6"/>
      <c r="K17" s="9"/>
      <c r="L17" s="7"/>
      <c r="M17" s="6" t="s">
        <v>41</v>
      </c>
      <c r="N17" s="7"/>
      <c r="O17" s="22" t="s">
        <v>23</v>
      </c>
      <c r="P17" s="6" t="s">
        <v>24</v>
      </c>
    </row>
    <row r="18" spans="1:16" ht="55.2">
      <c r="A18" s="20"/>
      <c r="B18" s="20"/>
      <c r="C18" s="20"/>
      <c r="D18" s="23"/>
      <c r="E18" s="6" t="s">
        <v>25</v>
      </c>
      <c r="F18" s="9" t="s">
        <v>47</v>
      </c>
      <c r="G18" s="7">
        <v>4</v>
      </c>
      <c r="H18" s="7">
        <v>0</v>
      </c>
      <c r="I18" s="7">
        <v>8</v>
      </c>
      <c r="J18" s="6" t="s">
        <v>27</v>
      </c>
      <c r="K18" s="9" t="s">
        <v>55</v>
      </c>
      <c r="L18" s="7"/>
      <c r="M18" s="6" t="s">
        <v>41</v>
      </c>
      <c r="N18" s="7"/>
      <c r="O18" s="7"/>
      <c r="P18" s="7"/>
    </row>
    <row r="19" spans="1:16" ht="13.8">
      <c r="A19" s="17"/>
      <c r="B19" s="17"/>
      <c r="C19" s="17"/>
      <c r="D19" s="18"/>
      <c r="E19" s="17"/>
      <c r="F19" s="18"/>
      <c r="G19" s="17"/>
      <c r="H19" s="17"/>
      <c r="I19" s="17"/>
      <c r="J19" s="17"/>
      <c r="K19" s="18"/>
      <c r="L19" s="17"/>
      <c r="M19" s="19"/>
      <c r="N19" s="19"/>
      <c r="O19" s="19"/>
      <c r="P19" s="17"/>
    </row>
    <row r="20" spans="1:16" ht="14.25" customHeight="1">
      <c r="A20" s="26" t="s">
        <v>56</v>
      </c>
      <c r="B20" s="27" t="s">
        <v>18</v>
      </c>
      <c r="C20" s="28" t="s">
        <v>57</v>
      </c>
      <c r="D20" s="29" t="s">
        <v>58</v>
      </c>
      <c r="E20" s="30" t="s">
        <v>21</v>
      </c>
      <c r="F20" s="30"/>
      <c r="G20" s="31"/>
      <c r="H20" s="31"/>
      <c r="I20" s="31"/>
      <c r="J20" s="32"/>
      <c r="K20" s="32"/>
      <c r="L20" s="33"/>
      <c r="M20" s="34" t="s">
        <v>59</v>
      </c>
      <c r="N20" s="34" t="s">
        <v>60</v>
      </c>
      <c r="O20" s="22" t="s">
        <v>23</v>
      </c>
      <c r="P20" s="30"/>
    </row>
    <row r="21" spans="1:16" ht="14.25" customHeight="1">
      <c r="A21" s="35"/>
      <c r="B21" s="36"/>
      <c r="C21" s="28"/>
      <c r="D21" s="29"/>
      <c r="E21" s="37" t="s">
        <v>25</v>
      </c>
      <c r="F21" s="30" t="s">
        <v>61</v>
      </c>
      <c r="G21" s="31">
        <v>4</v>
      </c>
      <c r="H21" s="31">
        <v>0</v>
      </c>
      <c r="I21" s="31">
        <v>8</v>
      </c>
      <c r="J21" s="38" t="s">
        <v>27</v>
      </c>
      <c r="K21" s="32" t="s">
        <v>62</v>
      </c>
      <c r="L21" s="33"/>
      <c r="M21" s="39"/>
      <c r="N21" s="39"/>
      <c r="O21" s="15"/>
      <c r="P21" s="30" t="s">
        <v>63</v>
      </c>
    </row>
    <row r="22" spans="1:16" ht="14.25" customHeight="1">
      <c r="A22" s="40"/>
      <c r="B22" s="41"/>
      <c r="C22" s="42"/>
      <c r="D22" s="43"/>
      <c r="E22" s="44"/>
      <c r="F22" s="42"/>
      <c r="G22" s="41"/>
      <c r="H22" s="41"/>
      <c r="I22" s="41"/>
      <c r="J22" s="42"/>
      <c r="K22" s="42"/>
      <c r="L22" s="45"/>
      <c r="M22" s="41"/>
      <c r="N22" s="41"/>
      <c r="O22" s="41"/>
      <c r="P22" s="45"/>
    </row>
    <row r="23" spans="1:16" ht="14.25" customHeight="1">
      <c r="A23" s="26" t="s">
        <v>56</v>
      </c>
      <c r="B23" s="46" t="s">
        <v>18</v>
      </c>
      <c r="C23" s="47" t="s">
        <v>64</v>
      </c>
      <c r="D23" s="48" t="s">
        <v>65</v>
      </c>
      <c r="E23" s="47" t="s">
        <v>21</v>
      </c>
      <c r="F23" s="49" t="s">
        <v>66</v>
      </c>
      <c r="G23" s="50">
        <v>4</v>
      </c>
      <c r="H23" s="50">
        <v>0</v>
      </c>
      <c r="I23" s="50">
        <v>8</v>
      </c>
      <c r="J23" s="49" t="s">
        <v>27</v>
      </c>
      <c r="K23" s="51" t="s">
        <v>67</v>
      </c>
      <c r="L23" s="49"/>
      <c r="M23" s="34" t="s">
        <v>59</v>
      </c>
      <c r="N23" s="34" t="s">
        <v>60</v>
      </c>
      <c r="O23" s="10" t="s">
        <v>68</v>
      </c>
      <c r="P23" s="52" t="s">
        <v>69</v>
      </c>
    </row>
    <row r="24" spans="1:16" ht="14.25" customHeight="1">
      <c r="A24" s="49"/>
      <c r="B24" s="46"/>
      <c r="C24" s="47"/>
      <c r="D24" s="53"/>
      <c r="E24" s="47"/>
      <c r="F24" s="54" t="s">
        <v>70</v>
      </c>
      <c r="G24" s="55">
        <v>5</v>
      </c>
      <c r="H24" s="50">
        <v>0</v>
      </c>
      <c r="I24" s="50">
        <v>8</v>
      </c>
      <c r="J24" s="38" t="s">
        <v>27</v>
      </c>
      <c r="K24" s="38" t="s">
        <v>44</v>
      </c>
      <c r="L24" s="56"/>
      <c r="M24" s="26"/>
      <c r="N24" s="26"/>
      <c r="O24" s="57"/>
      <c r="P24" s="58" t="s">
        <v>71</v>
      </c>
    </row>
    <row r="25" spans="1:16" ht="14.25" customHeight="1">
      <c r="A25" s="49"/>
      <c r="B25" s="46"/>
      <c r="C25" s="47"/>
      <c r="D25" s="53"/>
      <c r="E25" s="49" t="s">
        <v>25</v>
      </c>
      <c r="F25" s="54" t="s">
        <v>61</v>
      </c>
      <c r="G25" s="55">
        <v>4</v>
      </c>
      <c r="H25" s="50">
        <v>0</v>
      </c>
      <c r="I25" s="50">
        <v>8</v>
      </c>
      <c r="J25" s="38" t="s">
        <v>27</v>
      </c>
      <c r="K25" s="32" t="s">
        <v>62</v>
      </c>
      <c r="L25" s="56"/>
      <c r="M25" s="50"/>
      <c r="N25" s="50"/>
      <c r="O25" s="57"/>
      <c r="P25" s="54" t="s">
        <v>63</v>
      </c>
    </row>
    <row r="26" spans="1:16" ht="14.25" customHeight="1">
      <c r="A26" s="26" t="s">
        <v>56</v>
      </c>
      <c r="B26" s="59" t="s">
        <v>72</v>
      </c>
      <c r="C26" s="47"/>
      <c r="D26" s="53"/>
      <c r="E26" s="51" t="s">
        <v>21</v>
      </c>
      <c r="F26" s="52" t="s">
        <v>66</v>
      </c>
      <c r="G26" s="60">
        <v>4</v>
      </c>
      <c r="H26" s="60">
        <v>0</v>
      </c>
      <c r="I26" s="60">
        <v>8</v>
      </c>
      <c r="J26" s="49" t="s">
        <v>27</v>
      </c>
      <c r="K26" s="51" t="s">
        <v>67</v>
      </c>
      <c r="L26" s="52" t="s">
        <v>73</v>
      </c>
      <c r="M26" s="34" t="s">
        <v>59</v>
      </c>
      <c r="N26" s="34" t="s">
        <v>60</v>
      </c>
      <c r="O26" s="10" t="s">
        <v>68</v>
      </c>
      <c r="P26" s="52" t="s">
        <v>69</v>
      </c>
    </row>
    <row r="27" spans="1:16" ht="14.25" customHeight="1">
      <c r="A27" s="49"/>
      <c r="B27" s="26"/>
      <c r="C27" s="47"/>
      <c r="D27" s="53"/>
      <c r="E27" s="51"/>
      <c r="F27" s="58" t="s">
        <v>70</v>
      </c>
      <c r="G27" s="61">
        <v>5</v>
      </c>
      <c r="H27" s="62">
        <v>0</v>
      </c>
      <c r="I27" s="62">
        <v>8</v>
      </c>
      <c r="J27" s="58" t="s">
        <v>27</v>
      </c>
      <c r="K27" s="58" t="s">
        <v>44</v>
      </c>
      <c r="L27" s="58" t="s">
        <v>73</v>
      </c>
      <c r="M27" s="62"/>
      <c r="N27" s="62"/>
      <c r="O27" s="63" t="s">
        <v>73</v>
      </c>
      <c r="P27" s="58" t="s">
        <v>71</v>
      </c>
    </row>
    <row r="28" spans="1:16" ht="14.25" customHeight="1">
      <c r="A28" s="49"/>
      <c r="B28" s="26"/>
      <c r="C28" s="47"/>
      <c r="D28" s="53"/>
      <c r="E28" s="58" t="s">
        <v>25</v>
      </c>
      <c r="F28" s="58" t="s">
        <v>74</v>
      </c>
      <c r="G28" s="61">
        <v>4</v>
      </c>
      <c r="H28" s="62">
        <v>0</v>
      </c>
      <c r="I28" s="62">
        <v>8</v>
      </c>
      <c r="J28" s="38" t="s">
        <v>27</v>
      </c>
      <c r="K28" s="32" t="s">
        <v>62</v>
      </c>
      <c r="L28" s="58" t="s">
        <v>73</v>
      </c>
      <c r="M28" s="62" t="s">
        <v>73</v>
      </c>
      <c r="N28" s="62"/>
      <c r="O28" s="63" t="s">
        <v>73</v>
      </c>
      <c r="P28" s="64" t="s">
        <v>63</v>
      </c>
    </row>
    <row r="29" spans="1:16" ht="14.25" customHeight="1">
      <c r="A29" s="65"/>
      <c r="B29" s="66"/>
      <c r="C29" s="67"/>
      <c r="D29" s="68"/>
      <c r="E29" s="65"/>
      <c r="F29" s="69"/>
      <c r="G29" s="66"/>
      <c r="H29" s="66"/>
      <c r="I29" s="66"/>
      <c r="J29" s="69"/>
      <c r="K29" s="70"/>
      <c r="L29" s="69"/>
      <c r="M29" s="41"/>
      <c r="N29" s="41"/>
      <c r="O29" s="41"/>
      <c r="P29" s="70"/>
    </row>
    <row r="30" spans="1:16" ht="14.25" customHeight="1">
      <c r="A30" s="26" t="s">
        <v>56</v>
      </c>
      <c r="B30" s="71" t="s">
        <v>18</v>
      </c>
      <c r="C30" s="72" t="s">
        <v>75</v>
      </c>
      <c r="D30" s="73" t="s">
        <v>76</v>
      </c>
      <c r="E30" s="74" t="s">
        <v>21</v>
      </c>
      <c r="F30" s="74"/>
      <c r="G30" s="34"/>
      <c r="H30" s="34"/>
      <c r="I30" s="34"/>
      <c r="J30" s="74"/>
      <c r="K30" s="73"/>
      <c r="L30" s="74"/>
      <c r="M30" s="34" t="s">
        <v>59</v>
      </c>
      <c r="N30" s="34" t="s">
        <v>60</v>
      </c>
      <c r="O30" s="10" t="s">
        <v>68</v>
      </c>
      <c r="P30" s="73"/>
    </row>
    <row r="31" spans="1:16" ht="14.25" customHeight="1">
      <c r="A31" s="74"/>
      <c r="B31" s="71"/>
      <c r="C31" s="72"/>
      <c r="D31" s="73"/>
      <c r="E31" s="74" t="s">
        <v>25</v>
      </c>
      <c r="F31" s="75" t="s">
        <v>77</v>
      </c>
      <c r="G31" s="34">
        <v>4</v>
      </c>
      <c r="H31" s="34">
        <v>0</v>
      </c>
      <c r="I31" s="76">
        <v>32</v>
      </c>
      <c r="J31" s="73" t="s">
        <v>27</v>
      </c>
      <c r="K31" s="73" t="s">
        <v>78</v>
      </c>
      <c r="L31" s="74"/>
      <c r="M31" s="34"/>
      <c r="N31" s="34"/>
      <c r="O31" s="72"/>
      <c r="P31" s="48" t="s">
        <v>79</v>
      </c>
    </row>
    <row r="32" spans="1:16" ht="14.25" customHeight="1">
      <c r="A32" s="74"/>
      <c r="B32" s="71"/>
      <c r="C32" s="72"/>
      <c r="D32" s="73"/>
      <c r="E32" s="74"/>
      <c r="F32" s="75" t="s">
        <v>80</v>
      </c>
      <c r="G32" s="34">
        <v>8</v>
      </c>
      <c r="H32" s="34">
        <v>0</v>
      </c>
      <c r="I32" s="76">
        <v>32</v>
      </c>
      <c r="J32" s="73" t="s">
        <v>27</v>
      </c>
      <c r="K32" s="73" t="s">
        <v>78</v>
      </c>
      <c r="L32" s="74"/>
      <c r="M32" s="34"/>
      <c r="N32" s="34"/>
      <c r="O32" s="72"/>
      <c r="P32" s="48" t="s">
        <v>79</v>
      </c>
    </row>
    <row r="33" spans="1:16" ht="14.25" customHeight="1">
      <c r="A33" s="74"/>
      <c r="B33" s="71"/>
      <c r="C33" s="72"/>
      <c r="D33" s="73"/>
      <c r="E33" s="74"/>
      <c r="F33" s="75" t="s">
        <v>81</v>
      </c>
      <c r="G33" s="34">
        <v>12</v>
      </c>
      <c r="H33" s="34">
        <v>0</v>
      </c>
      <c r="I33" s="76">
        <v>32</v>
      </c>
      <c r="J33" s="73" t="s">
        <v>27</v>
      </c>
      <c r="K33" s="73" t="s">
        <v>78</v>
      </c>
      <c r="L33" s="74"/>
      <c r="M33" s="34"/>
      <c r="N33" s="34"/>
      <c r="O33" s="72"/>
      <c r="P33" s="48" t="s">
        <v>79</v>
      </c>
    </row>
    <row r="34" spans="1:16" ht="14.25" customHeight="1">
      <c r="A34" s="77"/>
      <c r="B34" s="78"/>
      <c r="C34" s="79"/>
      <c r="D34" s="80"/>
      <c r="E34" s="81"/>
      <c r="F34" s="82" t="s">
        <v>82</v>
      </c>
      <c r="G34" s="83">
        <v>16</v>
      </c>
      <c r="H34" s="83">
        <v>0</v>
      </c>
      <c r="I34" s="84">
        <v>32</v>
      </c>
      <c r="J34" s="80" t="s">
        <v>27</v>
      </c>
      <c r="K34" s="80" t="s">
        <v>78</v>
      </c>
      <c r="L34" s="81"/>
      <c r="M34" s="83"/>
      <c r="N34" s="83"/>
      <c r="O34" s="79"/>
      <c r="P34" s="48"/>
    </row>
    <row r="35" spans="1:16" ht="14.25" customHeight="1">
      <c r="A35" s="77"/>
      <c r="B35" s="78"/>
      <c r="C35" s="79"/>
      <c r="D35" s="80"/>
      <c r="E35" s="81"/>
      <c r="F35" s="85" t="s">
        <v>83</v>
      </c>
      <c r="G35" s="83">
        <v>20</v>
      </c>
      <c r="H35" s="83">
        <v>0</v>
      </c>
      <c r="I35" s="84">
        <v>32</v>
      </c>
      <c r="J35" s="80" t="s">
        <v>27</v>
      </c>
      <c r="K35" s="80" t="s">
        <v>78</v>
      </c>
      <c r="L35" s="81"/>
      <c r="M35" s="83"/>
      <c r="N35" s="83"/>
      <c r="O35" s="79"/>
      <c r="P35" s="48"/>
    </row>
    <row r="36" spans="1:16" ht="14.25" customHeight="1">
      <c r="A36" s="77"/>
      <c r="B36" s="78"/>
      <c r="C36" s="79"/>
      <c r="D36" s="80"/>
      <c r="E36" s="81"/>
      <c r="F36" s="82" t="s">
        <v>84</v>
      </c>
      <c r="G36" s="83">
        <v>24</v>
      </c>
      <c r="H36" s="83">
        <v>0</v>
      </c>
      <c r="I36" s="86">
        <v>32</v>
      </c>
      <c r="J36" s="80" t="s">
        <v>27</v>
      </c>
      <c r="K36" s="80" t="s">
        <v>78</v>
      </c>
      <c r="L36" s="87" t="s">
        <v>85</v>
      </c>
      <c r="M36" s="83"/>
      <c r="N36" s="83"/>
      <c r="O36" s="79"/>
      <c r="P36" s="48" t="s">
        <v>86</v>
      </c>
    </row>
    <row r="37" spans="1:16" ht="14.25" customHeight="1">
      <c r="A37" s="77"/>
      <c r="B37" s="78"/>
      <c r="C37" s="79"/>
      <c r="D37" s="80"/>
      <c r="E37" s="81"/>
      <c r="F37" s="82" t="s">
        <v>87</v>
      </c>
      <c r="G37" s="88">
        <v>28</v>
      </c>
      <c r="H37" s="83">
        <v>0</v>
      </c>
      <c r="I37" s="84">
        <v>8</v>
      </c>
      <c r="J37" s="80" t="s">
        <v>27</v>
      </c>
      <c r="K37" s="80" t="s">
        <v>78</v>
      </c>
      <c r="L37" s="87" t="s">
        <v>88</v>
      </c>
      <c r="M37" s="79"/>
      <c r="N37" s="79"/>
      <c r="O37" s="79"/>
      <c r="P37" s="48" t="s">
        <v>89</v>
      </c>
    </row>
    <row r="38" spans="1:16" ht="14.25" customHeight="1">
      <c r="A38" s="65"/>
      <c r="B38" s="66"/>
      <c r="C38" s="67"/>
      <c r="D38" s="68"/>
      <c r="E38" s="65"/>
      <c r="F38" s="69"/>
      <c r="G38" s="66"/>
      <c r="H38" s="66"/>
      <c r="I38" s="66"/>
      <c r="J38" s="69"/>
      <c r="K38" s="70"/>
      <c r="L38" s="69"/>
      <c r="M38" s="41"/>
      <c r="N38" s="41"/>
      <c r="O38" s="41"/>
      <c r="P38" s="70"/>
    </row>
    <row r="39" spans="1:16" ht="14.25" customHeight="1">
      <c r="A39" s="26" t="s">
        <v>56</v>
      </c>
      <c r="B39" s="89" t="s">
        <v>18</v>
      </c>
      <c r="C39" s="28" t="s">
        <v>90</v>
      </c>
      <c r="D39" s="29" t="s">
        <v>91</v>
      </c>
      <c r="E39" s="29" t="s">
        <v>21</v>
      </c>
      <c r="F39" s="30" t="s">
        <v>92</v>
      </c>
      <c r="G39" s="31">
        <v>4</v>
      </c>
      <c r="H39" s="31">
        <v>0</v>
      </c>
      <c r="I39" s="31">
        <v>32</v>
      </c>
      <c r="J39" s="38" t="s">
        <v>27</v>
      </c>
      <c r="K39" s="90" t="s">
        <v>93</v>
      </c>
      <c r="L39" s="33"/>
      <c r="M39" s="34" t="s">
        <v>59</v>
      </c>
      <c r="N39" s="34" t="s">
        <v>60</v>
      </c>
      <c r="O39" s="10" t="s">
        <v>68</v>
      </c>
      <c r="P39" s="91"/>
    </row>
    <row r="40" spans="1:16" ht="14.25" customHeight="1">
      <c r="A40" s="92"/>
      <c r="B40" s="89"/>
      <c r="C40" s="28"/>
      <c r="D40" s="29"/>
      <c r="E40" s="29"/>
      <c r="F40" s="30" t="s">
        <v>94</v>
      </c>
      <c r="G40" s="31">
        <v>8</v>
      </c>
      <c r="H40" s="31">
        <v>0</v>
      </c>
      <c r="I40" s="31">
        <v>32</v>
      </c>
      <c r="J40" s="49" t="s">
        <v>27</v>
      </c>
      <c r="K40" s="51" t="s">
        <v>67</v>
      </c>
      <c r="L40" s="33"/>
      <c r="M40" s="39"/>
      <c r="N40" s="39"/>
      <c r="O40" s="15"/>
      <c r="P40" s="30" t="s">
        <v>95</v>
      </c>
    </row>
    <row r="41" spans="1:16" ht="14.25" customHeight="1">
      <c r="A41" s="92"/>
      <c r="B41" s="89"/>
      <c r="C41" s="28"/>
      <c r="D41" s="29"/>
      <c r="E41" s="29"/>
      <c r="F41" s="30" t="s">
        <v>96</v>
      </c>
      <c r="G41" s="31">
        <v>12</v>
      </c>
      <c r="H41" s="31">
        <v>0</v>
      </c>
      <c r="I41" s="31">
        <v>32</v>
      </c>
      <c r="J41" s="38" t="s">
        <v>27</v>
      </c>
      <c r="K41" s="32" t="s">
        <v>97</v>
      </c>
      <c r="L41" s="33"/>
      <c r="M41" s="39"/>
      <c r="N41" s="39"/>
      <c r="O41" s="15"/>
      <c r="P41" s="30" t="s">
        <v>98</v>
      </c>
    </row>
    <row r="42" spans="1:16" ht="14.25" customHeight="1">
      <c r="A42" s="92"/>
      <c r="B42" s="89"/>
      <c r="C42" s="28"/>
      <c r="D42" s="29"/>
      <c r="E42" s="37" t="s">
        <v>25</v>
      </c>
      <c r="F42" s="30" t="s">
        <v>61</v>
      </c>
      <c r="G42" s="31">
        <v>4</v>
      </c>
      <c r="H42" s="31"/>
      <c r="I42" s="31">
        <v>8</v>
      </c>
      <c r="J42" s="38" t="s">
        <v>27</v>
      </c>
      <c r="K42" s="32" t="s">
        <v>62</v>
      </c>
      <c r="L42" s="33"/>
      <c r="M42" s="39"/>
      <c r="N42" s="39"/>
      <c r="O42" s="15"/>
      <c r="P42" s="30" t="s">
        <v>63</v>
      </c>
    </row>
    <row r="43" spans="1:16" ht="14.25" customHeight="1">
      <c r="A43" s="92"/>
      <c r="B43" s="89"/>
      <c r="C43" s="28"/>
      <c r="D43" s="29"/>
      <c r="E43" s="29"/>
      <c r="F43" s="30" t="s">
        <v>99</v>
      </c>
      <c r="G43" s="31">
        <v>5</v>
      </c>
      <c r="H43" s="31">
        <v>0</v>
      </c>
      <c r="I43" s="31">
        <v>32</v>
      </c>
      <c r="J43" s="32" t="s">
        <v>39</v>
      </c>
      <c r="K43" s="91" t="s">
        <v>100</v>
      </c>
      <c r="L43" s="93" t="s">
        <v>88</v>
      </c>
      <c r="M43" s="39"/>
      <c r="N43" s="39"/>
      <c r="O43" s="15"/>
      <c r="P43" s="30"/>
    </row>
    <row r="44" spans="1:16" ht="14.25" customHeight="1">
      <c r="A44" s="92"/>
      <c r="B44" s="89"/>
      <c r="C44" s="28"/>
      <c r="D44" s="29"/>
      <c r="E44" s="29"/>
      <c r="F44" s="30" t="s">
        <v>84</v>
      </c>
      <c r="G44" s="31">
        <v>6</v>
      </c>
      <c r="H44" s="31">
        <v>0</v>
      </c>
      <c r="I44" s="31">
        <v>32</v>
      </c>
      <c r="J44" s="32" t="s">
        <v>39</v>
      </c>
      <c r="K44" s="32" t="s">
        <v>44</v>
      </c>
      <c r="L44" s="93" t="s">
        <v>85</v>
      </c>
      <c r="M44" s="31"/>
      <c r="N44" s="31"/>
      <c r="O44" s="15"/>
      <c r="P44" s="91" t="s">
        <v>101</v>
      </c>
    </row>
    <row r="45" spans="1:16" ht="14.25" customHeight="1">
      <c r="A45" s="65"/>
      <c r="B45" s="66"/>
      <c r="C45" s="67"/>
      <c r="D45" s="68"/>
      <c r="E45" s="65"/>
      <c r="F45" s="69"/>
      <c r="G45" s="66"/>
      <c r="H45" s="66"/>
      <c r="I45" s="66"/>
      <c r="J45" s="69"/>
      <c r="K45" s="70"/>
      <c r="L45" s="69"/>
      <c r="M45" s="41"/>
      <c r="N45" s="41"/>
      <c r="O45" s="41"/>
      <c r="P45" s="70"/>
    </row>
    <row r="46" spans="1:16" ht="14.25" customHeight="1">
      <c r="A46" s="26" t="s">
        <v>56</v>
      </c>
      <c r="B46" s="46" t="s">
        <v>18</v>
      </c>
      <c r="C46" s="94" t="s">
        <v>102</v>
      </c>
      <c r="D46" s="53" t="s">
        <v>103</v>
      </c>
      <c r="E46" s="54" t="s">
        <v>21</v>
      </c>
      <c r="F46" s="95" t="s">
        <v>104</v>
      </c>
      <c r="G46" s="96">
        <v>4</v>
      </c>
      <c r="H46" s="96">
        <v>0</v>
      </c>
      <c r="I46" s="96">
        <v>8</v>
      </c>
      <c r="J46" s="29" t="s">
        <v>39</v>
      </c>
      <c r="K46" s="29" t="s">
        <v>105</v>
      </c>
      <c r="L46" s="56"/>
      <c r="M46" s="88" t="s">
        <v>59</v>
      </c>
      <c r="N46" s="34" t="s">
        <v>60</v>
      </c>
      <c r="O46" s="22" t="s">
        <v>23</v>
      </c>
      <c r="P46" s="54"/>
    </row>
    <row r="47" spans="1:16" ht="14.25" customHeight="1">
      <c r="A47" s="49"/>
      <c r="B47" s="46"/>
      <c r="C47" s="94"/>
      <c r="D47" s="53"/>
      <c r="E47" s="97" t="s">
        <v>25</v>
      </c>
      <c r="F47" s="98" t="s">
        <v>106</v>
      </c>
      <c r="G47" s="99">
        <v>4</v>
      </c>
      <c r="H47" s="99">
        <v>0</v>
      </c>
      <c r="I47" s="99">
        <v>32</v>
      </c>
      <c r="J47" s="98" t="s">
        <v>27</v>
      </c>
      <c r="K47" s="98" t="s">
        <v>107</v>
      </c>
      <c r="L47" s="97"/>
      <c r="M47" s="100"/>
      <c r="N47" s="100"/>
      <c r="O47" s="101"/>
      <c r="P47" s="97" t="s">
        <v>108</v>
      </c>
    </row>
    <row r="48" spans="1:16" ht="14.25" customHeight="1">
      <c r="A48" s="65"/>
      <c r="B48" s="66"/>
      <c r="C48" s="67"/>
      <c r="D48" s="68"/>
      <c r="E48" s="65"/>
      <c r="F48" s="69"/>
      <c r="G48" s="66"/>
      <c r="H48" s="66"/>
      <c r="I48" s="66"/>
      <c r="J48" s="69"/>
      <c r="K48" s="70"/>
      <c r="L48" s="69"/>
      <c r="M48" s="41"/>
      <c r="N48" s="41"/>
      <c r="O48" s="41"/>
      <c r="P48" s="70"/>
    </row>
    <row r="49" spans="1:16" ht="14.25" customHeight="1">
      <c r="A49" s="26" t="s">
        <v>56</v>
      </c>
      <c r="B49" s="46" t="s">
        <v>18</v>
      </c>
      <c r="C49" s="94" t="s">
        <v>109</v>
      </c>
      <c r="D49" s="53" t="s">
        <v>110</v>
      </c>
      <c r="E49" s="54" t="s">
        <v>21</v>
      </c>
      <c r="F49" s="54" t="s">
        <v>111</v>
      </c>
      <c r="G49" s="50">
        <v>4</v>
      </c>
      <c r="H49" s="50">
        <v>0</v>
      </c>
      <c r="I49" s="50">
        <v>8</v>
      </c>
      <c r="J49" s="38" t="s">
        <v>39</v>
      </c>
      <c r="K49" s="95" t="s">
        <v>112</v>
      </c>
      <c r="L49" s="56"/>
      <c r="M49" s="26" t="s">
        <v>113</v>
      </c>
      <c r="N49" s="34" t="s">
        <v>60</v>
      </c>
      <c r="O49" s="22" t="s">
        <v>23</v>
      </c>
      <c r="P49" s="54"/>
    </row>
    <row r="50" spans="1:16" ht="14.25" customHeight="1">
      <c r="A50" s="49"/>
      <c r="B50" s="46"/>
      <c r="C50" s="94"/>
      <c r="D50" s="53"/>
      <c r="E50" s="54" t="s">
        <v>25</v>
      </c>
      <c r="F50" s="54" t="s">
        <v>111</v>
      </c>
      <c r="G50" s="50">
        <v>4</v>
      </c>
      <c r="H50" s="50">
        <v>0</v>
      </c>
      <c r="I50" s="50">
        <v>8</v>
      </c>
      <c r="J50" s="38" t="s">
        <v>39</v>
      </c>
      <c r="K50" s="95" t="s">
        <v>112</v>
      </c>
      <c r="L50" s="56"/>
      <c r="M50" s="26"/>
      <c r="N50" s="26"/>
      <c r="O50" s="57"/>
      <c r="P50" s="54"/>
    </row>
    <row r="51" spans="1:16" ht="14.25" customHeight="1">
      <c r="A51" s="26" t="s">
        <v>56</v>
      </c>
      <c r="B51" s="59" t="s">
        <v>72</v>
      </c>
      <c r="C51" s="94"/>
      <c r="D51" s="53"/>
      <c r="E51" s="52" t="s">
        <v>21</v>
      </c>
      <c r="F51" s="54" t="s">
        <v>111</v>
      </c>
      <c r="G51" s="60">
        <v>4</v>
      </c>
      <c r="H51" s="60">
        <v>0</v>
      </c>
      <c r="I51" s="60">
        <v>8</v>
      </c>
      <c r="J51" s="38" t="s">
        <v>39</v>
      </c>
      <c r="K51" s="95" t="s">
        <v>112</v>
      </c>
      <c r="L51" s="52" t="s">
        <v>73</v>
      </c>
      <c r="M51" s="60" t="s">
        <v>114</v>
      </c>
      <c r="N51" s="60"/>
      <c r="O51" s="102" t="s">
        <v>73</v>
      </c>
      <c r="P51" s="54"/>
    </row>
    <row r="52" spans="1:16" ht="14.25" customHeight="1">
      <c r="A52" s="49"/>
      <c r="B52" s="26"/>
      <c r="C52" s="94"/>
      <c r="D52" s="53"/>
      <c r="E52" s="58" t="s">
        <v>25</v>
      </c>
      <c r="F52" s="54" t="s">
        <v>111</v>
      </c>
      <c r="G52" s="62">
        <v>4</v>
      </c>
      <c r="H52" s="62">
        <v>0</v>
      </c>
      <c r="I52" s="62">
        <v>8</v>
      </c>
      <c r="J52" s="38" t="s">
        <v>39</v>
      </c>
      <c r="K52" s="95" t="s">
        <v>112</v>
      </c>
      <c r="L52" s="58" t="s">
        <v>73</v>
      </c>
      <c r="M52" s="62" t="s">
        <v>73</v>
      </c>
      <c r="N52" s="62"/>
      <c r="O52" s="63" t="s">
        <v>73</v>
      </c>
      <c r="P52" s="54"/>
    </row>
    <row r="53" spans="1:16" ht="14.25" customHeight="1">
      <c r="A53" s="65"/>
      <c r="B53" s="66"/>
      <c r="C53" s="67"/>
      <c r="D53" s="68"/>
      <c r="E53" s="65"/>
      <c r="F53" s="69"/>
      <c r="G53" s="66"/>
      <c r="H53" s="66"/>
      <c r="I53" s="66"/>
      <c r="J53" s="69"/>
      <c r="K53" s="70"/>
      <c r="L53" s="69"/>
      <c r="M53" s="41"/>
      <c r="N53" s="41"/>
      <c r="O53" s="41"/>
      <c r="P53" s="70"/>
    </row>
    <row r="54" spans="1:16" ht="14.25" customHeight="1">
      <c r="A54" s="26" t="s">
        <v>56</v>
      </c>
      <c r="B54" s="89" t="s">
        <v>18</v>
      </c>
      <c r="C54" s="28" t="s">
        <v>115</v>
      </c>
      <c r="D54" s="29" t="s">
        <v>116</v>
      </c>
      <c r="E54" s="30" t="s">
        <v>21</v>
      </c>
      <c r="F54" s="29" t="s">
        <v>104</v>
      </c>
      <c r="G54" s="103">
        <v>4</v>
      </c>
      <c r="H54" s="103">
        <v>0</v>
      </c>
      <c r="I54" s="103">
        <v>8</v>
      </c>
      <c r="J54" s="53" t="s">
        <v>39</v>
      </c>
      <c r="K54" s="29" t="s">
        <v>117</v>
      </c>
      <c r="L54" s="33"/>
      <c r="M54" s="39" t="s">
        <v>113</v>
      </c>
      <c r="N54" s="34" t="s">
        <v>60</v>
      </c>
      <c r="O54" s="22" t="s">
        <v>23</v>
      </c>
      <c r="P54" s="30"/>
    </row>
    <row r="55" spans="1:16" ht="14.25" customHeight="1">
      <c r="A55" s="92"/>
      <c r="B55" s="89"/>
      <c r="C55" s="28"/>
      <c r="D55" s="29"/>
      <c r="E55" s="30" t="s">
        <v>25</v>
      </c>
      <c r="F55" s="104" t="s">
        <v>106</v>
      </c>
      <c r="G55" s="39">
        <v>4</v>
      </c>
      <c r="H55" s="39">
        <v>0</v>
      </c>
      <c r="I55" s="39">
        <v>8</v>
      </c>
      <c r="J55" s="38" t="s">
        <v>27</v>
      </c>
      <c r="K55" s="29" t="s">
        <v>118</v>
      </c>
      <c r="L55" s="33"/>
      <c r="M55" s="39"/>
      <c r="N55" s="39"/>
      <c r="O55" s="15"/>
      <c r="P55" s="30" t="s">
        <v>119</v>
      </c>
    </row>
    <row r="56" spans="1:16" ht="14.25" customHeight="1">
      <c r="A56" s="65"/>
      <c r="B56" s="66"/>
      <c r="C56" s="67"/>
      <c r="D56" s="68"/>
      <c r="E56" s="65"/>
      <c r="F56" s="69"/>
      <c r="G56" s="66"/>
      <c r="H56" s="66"/>
      <c r="I56" s="66"/>
      <c r="J56" s="69"/>
      <c r="K56" s="70"/>
      <c r="L56" s="69"/>
      <c r="M56" s="41"/>
      <c r="N56" s="41"/>
      <c r="O56" s="41"/>
      <c r="P56" s="70"/>
    </row>
    <row r="57" spans="1:16" ht="14.25" customHeight="1">
      <c r="A57" s="26" t="s">
        <v>56</v>
      </c>
      <c r="B57" s="71" t="s">
        <v>18</v>
      </c>
      <c r="C57" s="105" t="s">
        <v>120</v>
      </c>
      <c r="D57" s="73" t="s">
        <v>121</v>
      </c>
      <c r="E57" s="73" t="s">
        <v>21</v>
      </c>
      <c r="F57" s="75" t="s">
        <v>122</v>
      </c>
      <c r="G57" s="76">
        <v>4</v>
      </c>
      <c r="H57" s="76">
        <v>0</v>
      </c>
      <c r="I57" s="76">
        <v>8</v>
      </c>
      <c r="J57" s="73" t="s">
        <v>27</v>
      </c>
      <c r="K57" s="91" t="s">
        <v>123</v>
      </c>
      <c r="L57" s="74"/>
      <c r="M57" s="34" t="s">
        <v>59</v>
      </c>
      <c r="N57" s="34" t="s">
        <v>60</v>
      </c>
      <c r="O57" s="10" t="s">
        <v>68</v>
      </c>
      <c r="P57" s="48" t="s">
        <v>124</v>
      </c>
    </row>
    <row r="58" spans="1:16" ht="14.25" customHeight="1">
      <c r="A58" s="74"/>
      <c r="B58" s="71"/>
      <c r="C58" s="105"/>
      <c r="D58" s="73"/>
      <c r="E58" s="73" t="s">
        <v>25</v>
      </c>
      <c r="F58" s="75" t="s">
        <v>122</v>
      </c>
      <c r="G58" s="76">
        <v>4</v>
      </c>
      <c r="H58" s="76">
        <v>0</v>
      </c>
      <c r="I58" s="76">
        <v>8</v>
      </c>
      <c r="J58" s="73" t="s">
        <v>27</v>
      </c>
      <c r="K58" s="91" t="s">
        <v>125</v>
      </c>
      <c r="L58" s="74"/>
      <c r="M58" s="34"/>
      <c r="N58" s="34"/>
      <c r="O58" s="72"/>
      <c r="P58" s="48" t="s">
        <v>124</v>
      </c>
    </row>
    <row r="59" spans="1:16" ht="14.25" customHeight="1">
      <c r="A59" s="26" t="s">
        <v>56</v>
      </c>
      <c r="B59" s="106" t="s">
        <v>72</v>
      </c>
      <c r="C59" s="107"/>
      <c r="D59" s="48"/>
      <c r="E59" s="48" t="s">
        <v>21</v>
      </c>
      <c r="F59" s="91" t="s">
        <v>122</v>
      </c>
      <c r="G59" s="86">
        <v>4</v>
      </c>
      <c r="H59" s="86">
        <v>0</v>
      </c>
      <c r="I59" s="86">
        <v>8</v>
      </c>
      <c r="J59" s="48" t="s">
        <v>27</v>
      </c>
      <c r="K59" s="91" t="s">
        <v>123</v>
      </c>
      <c r="L59" s="87"/>
      <c r="M59" s="88" t="s">
        <v>59</v>
      </c>
      <c r="N59" s="88"/>
      <c r="O59" s="108"/>
      <c r="P59" s="48" t="s">
        <v>124</v>
      </c>
    </row>
    <row r="60" spans="1:16" ht="14.25" customHeight="1">
      <c r="A60" s="87"/>
      <c r="B60" s="106"/>
      <c r="C60" s="107"/>
      <c r="D60" s="48"/>
      <c r="E60" s="48" t="s">
        <v>25</v>
      </c>
      <c r="F60" s="91" t="s">
        <v>122</v>
      </c>
      <c r="G60" s="86">
        <v>4</v>
      </c>
      <c r="H60" s="86">
        <v>0</v>
      </c>
      <c r="I60" s="86">
        <v>8</v>
      </c>
      <c r="J60" s="48" t="s">
        <v>27</v>
      </c>
      <c r="K60" s="91" t="s">
        <v>125</v>
      </c>
      <c r="L60" s="87"/>
      <c r="M60" s="88"/>
      <c r="N60" s="88"/>
      <c r="O60" s="108"/>
      <c r="P60" s="48" t="s">
        <v>124</v>
      </c>
    </row>
    <row r="61" spans="1:16" ht="14.25" customHeight="1">
      <c r="A61" s="65"/>
      <c r="B61" s="66"/>
      <c r="C61" s="67"/>
      <c r="D61" s="68"/>
      <c r="E61" s="65"/>
      <c r="F61" s="69"/>
      <c r="G61" s="66"/>
      <c r="H61" s="66"/>
      <c r="I61" s="66"/>
      <c r="J61" s="69"/>
      <c r="K61" s="70"/>
      <c r="L61" s="69"/>
      <c r="M61" s="41"/>
      <c r="N61" s="41"/>
      <c r="O61" s="41"/>
      <c r="P61" s="70"/>
    </row>
    <row r="62" spans="1:16" ht="14.25" customHeight="1">
      <c r="A62" s="26" t="s">
        <v>56</v>
      </c>
      <c r="B62" s="46" t="s">
        <v>18</v>
      </c>
      <c r="C62" s="94" t="s">
        <v>126</v>
      </c>
      <c r="D62" s="53" t="s">
        <v>127</v>
      </c>
      <c r="E62" s="53" t="s">
        <v>21</v>
      </c>
      <c r="F62" s="109" t="s">
        <v>128</v>
      </c>
      <c r="G62" s="110">
        <v>4</v>
      </c>
      <c r="H62" s="110">
        <v>0</v>
      </c>
      <c r="I62" s="110">
        <v>8</v>
      </c>
      <c r="J62" s="38" t="s">
        <v>27</v>
      </c>
      <c r="K62" s="32" t="s">
        <v>129</v>
      </c>
      <c r="L62" s="56"/>
      <c r="M62" s="39" t="s">
        <v>113</v>
      </c>
      <c r="N62" s="34" t="s">
        <v>60</v>
      </c>
      <c r="O62" s="10" t="s">
        <v>68</v>
      </c>
      <c r="P62" s="54" t="s">
        <v>130</v>
      </c>
    </row>
    <row r="63" spans="1:16" ht="14.25" customHeight="1">
      <c r="A63" s="49"/>
      <c r="B63" s="46"/>
      <c r="C63" s="94"/>
      <c r="D63" s="53"/>
      <c r="E63" s="53"/>
      <c r="F63" s="104" t="s">
        <v>131</v>
      </c>
      <c r="G63" s="111">
        <v>5</v>
      </c>
      <c r="H63" s="111">
        <v>0</v>
      </c>
      <c r="I63" s="111">
        <v>80</v>
      </c>
      <c r="J63" s="38" t="s">
        <v>132</v>
      </c>
      <c r="K63" s="38" t="s">
        <v>133</v>
      </c>
      <c r="L63" s="56"/>
      <c r="M63" s="26"/>
      <c r="N63" s="26"/>
      <c r="O63" s="57"/>
      <c r="P63" s="54" t="s">
        <v>134</v>
      </c>
    </row>
    <row r="64" spans="1:16" ht="14.25" customHeight="1">
      <c r="A64" s="49"/>
      <c r="B64" s="46"/>
      <c r="C64" s="94"/>
      <c r="D64" s="53"/>
      <c r="E64" s="54" t="s">
        <v>25</v>
      </c>
      <c r="F64" s="109" t="s">
        <v>84</v>
      </c>
      <c r="G64" s="110">
        <v>4</v>
      </c>
      <c r="H64" s="110">
        <v>0</v>
      </c>
      <c r="I64" s="110">
        <v>32</v>
      </c>
      <c r="J64" s="38" t="s">
        <v>39</v>
      </c>
      <c r="K64" s="38" t="s">
        <v>44</v>
      </c>
      <c r="L64" s="87" t="s">
        <v>85</v>
      </c>
      <c r="M64" s="26"/>
      <c r="N64" s="26"/>
      <c r="O64" s="57"/>
      <c r="P64" s="48" t="s">
        <v>135</v>
      </c>
    </row>
    <row r="65" spans="1:16" ht="14.25" customHeight="1">
      <c r="A65" s="65"/>
      <c r="B65" s="66"/>
      <c r="C65" s="67"/>
      <c r="D65" s="68"/>
      <c r="E65" s="65"/>
      <c r="F65" s="69"/>
      <c r="G65" s="66"/>
      <c r="H65" s="66"/>
      <c r="I65" s="66"/>
      <c r="J65" s="69"/>
      <c r="K65" s="70"/>
      <c r="L65" s="69"/>
      <c r="M65" s="41"/>
      <c r="N65" s="41"/>
      <c r="O65" s="41"/>
      <c r="P65" s="70"/>
    </row>
    <row r="66" spans="1:16" ht="14.25" customHeight="1">
      <c r="A66" s="26" t="s">
        <v>56</v>
      </c>
      <c r="B66" s="46" t="s">
        <v>18</v>
      </c>
      <c r="C66" s="94" t="s">
        <v>136</v>
      </c>
      <c r="D66" s="53" t="s">
        <v>137</v>
      </c>
      <c r="E66" s="95" t="s">
        <v>21</v>
      </c>
      <c r="F66" s="109" t="s">
        <v>138</v>
      </c>
      <c r="G66" s="110">
        <v>4</v>
      </c>
      <c r="H66" s="110">
        <v>0</v>
      </c>
      <c r="I66" s="110">
        <v>8</v>
      </c>
      <c r="J66" s="38" t="s">
        <v>27</v>
      </c>
      <c r="K66" s="32" t="s">
        <v>139</v>
      </c>
      <c r="L66" s="56"/>
      <c r="M66" s="39" t="s">
        <v>113</v>
      </c>
      <c r="N66" s="34" t="s">
        <v>60</v>
      </c>
      <c r="O66" s="10" t="s">
        <v>68</v>
      </c>
      <c r="P66" s="54" t="s">
        <v>140</v>
      </c>
    </row>
    <row r="67" spans="1:16" ht="14.25" customHeight="1">
      <c r="A67" s="49"/>
      <c r="B67" s="46"/>
      <c r="C67" s="94"/>
      <c r="D67" s="53"/>
      <c r="E67" s="53"/>
      <c r="F67" s="104" t="s">
        <v>141</v>
      </c>
      <c r="G67" s="111">
        <v>5</v>
      </c>
      <c r="H67" s="111">
        <v>0</v>
      </c>
      <c r="I67" s="111">
        <v>80</v>
      </c>
      <c r="J67" s="38" t="s">
        <v>132</v>
      </c>
      <c r="K67" s="38" t="s">
        <v>133</v>
      </c>
      <c r="L67" s="56"/>
      <c r="M67" s="26"/>
      <c r="N67" s="26"/>
      <c r="O67" s="57"/>
      <c r="P67" s="54" t="s">
        <v>142</v>
      </c>
    </row>
    <row r="68" spans="1:16" ht="14.25" customHeight="1">
      <c r="A68" s="49"/>
      <c r="B68" s="46"/>
      <c r="C68" s="94"/>
      <c r="D68" s="53"/>
      <c r="E68" s="54" t="s">
        <v>25</v>
      </c>
      <c r="F68" s="112" t="s">
        <v>84</v>
      </c>
      <c r="G68" s="110">
        <v>4</v>
      </c>
      <c r="H68" s="110">
        <v>0</v>
      </c>
      <c r="I68" s="110">
        <v>32</v>
      </c>
      <c r="J68" s="38" t="s">
        <v>39</v>
      </c>
      <c r="K68" s="38" t="s">
        <v>44</v>
      </c>
      <c r="L68" s="87" t="s">
        <v>85</v>
      </c>
      <c r="M68" s="26"/>
      <c r="N68" s="26"/>
      <c r="O68" s="57"/>
      <c r="P68" s="48" t="s">
        <v>143</v>
      </c>
    </row>
    <row r="69" spans="1:16" ht="14.25" customHeight="1">
      <c r="A69" s="65"/>
      <c r="B69" s="66"/>
      <c r="C69" s="67"/>
      <c r="D69" s="68"/>
      <c r="E69" s="65"/>
      <c r="F69" s="69"/>
      <c r="G69" s="66"/>
      <c r="H69" s="66"/>
      <c r="I69" s="66"/>
      <c r="J69" s="69"/>
      <c r="K69" s="70"/>
      <c r="L69" s="69"/>
      <c r="M69" s="41"/>
      <c r="N69" s="41"/>
      <c r="O69" s="41"/>
      <c r="P69" s="70"/>
    </row>
    <row r="70" spans="1:16" ht="14.25" customHeight="1">
      <c r="A70" s="26" t="s">
        <v>56</v>
      </c>
      <c r="B70" s="46" t="s">
        <v>18</v>
      </c>
      <c r="C70" s="94" t="s">
        <v>144</v>
      </c>
      <c r="D70" s="53" t="s">
        <v>145</v>
      </c>
      <c r="E70" s="95" t="s">
        <v>21</v>
      </c>
      <c r="F70" s="109"/>
      <c r="G70" s="110"/>
      <c r="H70" s="110"/>
      <c r="I70" s="110"/>
      <c r="J70" s="38"/>
      <c r="K70" s="38"/>
      <c r="L70" s="56"/>
      <c r="M70" s="39" t="s">
        <v>113</v>
      </c>
      <c r="N70" s="34" t="s">
        <v>60</v>
      </c>
      <c r="O70" s="10" t="s">
        <v>68</v>
      </c>
      <c r="P70" s="54"/>
    </row>
    <row r="71" spans="1:16" ht="14.25" customHeight="1">
      <c r="A71" s="49"/>
      <c r="B71" s="46"/>
      <c r="C71" s="94"/>
      <c r="D71" s="53"/>
      <c r="E71" s="53" t="s">
        <v>25</v>
      </c>
      <c r="F71" s="112" t="s">
        <v>146</v>
      </c>
      <c r="G71" s="110">
        <v>4</v>
      </c>
      <c r="H71" s="110">
        <v>0</v>
      </c>
      <c r="I71" s="110">
        <v>8</v>
      </c>
      <c r="J71" s="38" t="s">
        <v>27</v>
      </c>
      <c r="K71" s="32" t="s">
        <v>62</v>
      </c>
      <c r="L71" s="56"/>
      <c r="M71" s="26"/>
      <c r="N71" s="26"/>
      <c r="O71" s="57"/>
      <c r="P71" s="54" t="s">
        <v>63</v>
      </c>
    </row>
    <row r="72" spans="1:16" ht="14.25" customHeight="1">
      <c r="A72" s="49"/>
      <c r="B72" s="46"/>
      <c r="C72" s="94"/>
      <c r="D72" s="53"/>
      <c r="E72" s="53"/>
      <c r="F72" s="112" t="s">
        <v>147</v>
      </c>
      <c r="G72" s="110">
        <v>5</v>
      </c>
      <c r="H72" s="110">
        <v>0</v>
      </c>
      <c r="I72" s="110">
        <v>32</v>
      </c>
      <c r="J72" s="38" t="s">
        <v>39</v>
      </c>
      <c r="K72" s="38" t="s">
        <v>44</v>
      </c>
      <c r="L72" s="56"/>
      <c r="M72" s="26"/>
      <c r="N72" s="26"/>
      <c r="O72" s="57"/>
      <c r="P72" s="54"/>
    </row>
    <row r="73" spans="1:16" ht="14.25" customHeight="1">
      <c r="A73" s="65"/>
      <c r="B73" s="66"/>
      <c r="C73" s="67"/>
      <c r="D73" s="68"/>
      <c r="E73" s="65"/>
      <c r="F73" s="69"/>
      <c r="G73" s="66"/>
      <c r="H73" s="66"/>
      <c r="I73" s="66"/>
      <c r="J73" s="69"/>
      <c r="K73" s="70"/>
      <c r="L73" s="69"/>
      <c r="M73" s="41"/>
      <c r="N73" s="41"/>
      <c r="O73" s="41"/>
      <c r="P73" s="70"/>
    </row>
    <row r="74" spans="1:16" ht="14.25" customHeight="1">
      <c r="A74" s="26" t="s">
        <v>56</v>
      </c>
      <c r="B74" s="46" t="s">
        <v>18</v>
      </c>
      <c r="C74" s="94" t="s">
        <v>148</v>
      </c>
      <c r="D74" s="53" t="s">
        <v>149</v>
      </c>
      <c r="E74" s="95" t="s">
        <v>21</v>
      </c>
      <c r="F74" s="104"/>
      <c r="G74" s="111"/>
      <c r="H74" s="111"/>
      <c r="I74" s="111"/>
      <c r="J74" s="38" t="s">
        <v>39</v>
      </c>
      <c r="K74" s="38" t="s">
        <v>44</v>
      </c>
      <c r="L74" s="56"/>
      <c r="M74" s="39" t="s">
        <v>113</v>
      </c>
      <c r="N74" s="34" t="s">
        <v>60</v>
      </c>
      <c r="O74" s="10" t="s">
        <v>68</v>
      </c>
      <c r="P74" s="54"/>
    </row>
    <row r="75" spans="1:16" ht="14.25" customHeight="1">
      <c r="A75" s="49"/>
      <c r="B75" s="46"/>
      <c r="C75" s="94"/>
      <c r="D75" s="53"/>
      <c r="E75" s="95" t="s">
        <v>25</v>
      </c>
      <c r="F75" s="104" t="s">
        <v>150</v>
      </c>
      <c r="G75" s="111">
        <v>4</v>
      </c>
      <c r="H75" s="111"/>
      <c r="I75" s="111">
        <v>8</v>
      </c>
      <c r="J75" s="38" t="s">
        <v>39</v>
      </c>
      <c r="K75" s="38" t="s">
        <v>44</v>
      </c>
      <c r="L75" s="56"/>
      <c r="M75" s="26"/>
      <c r="N75" s="26"/>
      <c r="O75" s="57"/>
      <c r="P75" s="54" t="s">
        <v>151</v>
      </c>
    </row>
    <row r="76" spans="1:16" ht="14.25" customHeight="1">
      <c r="A76" s="49"/>
      <c r="B76" s="46"/>
      <c r="C76" s="94"/>
      <c r="D76" s="53"/>
      <c r="E76" s="95"/>
      <c r="F76" s="104" t="s">
        <v>152</v>
      </c>
      <c r="G76" s="111">
        <v>5</v>
      </c>
      <c r="H76" s="111"/>
      <c r="I76" s="111">
        <v>8</v>
      </c>
      <c r="J76" s="38" t="s">
        <v>39</v>
      </c>
      <c r="K76" s="38" t="s">
        <v>44</v>
      </c>
      <c r="L76" s="56"/>
      <c r="M76" s="26"/>
      <c r="N76" s="26"/>
      <c r="O76" s="57"/>
      <c r="P76" s="54" t="s">
        <v>153</v>
      </c>
    </row>
    <row r="77" spans="1:16" ht="14.25" customHeight="1">
      <c r="A77" s="49"/>
      <c r="B77" s="46"/>
      <c r="C77" s="94"/>
      <c r="D77" s="53"/>
      <c r="E77" s="95"/>
      <c r="F77" s="104" t="s">
        <v>154</v>
      </c>
      <c r="G77" s="111">
        <v>6</v>
      </c>
      <c r="H77" s="111"/>
      <c r="I77" s="111">
        <v>16</v>
      </c>
      <c r="J77" s="38" t="s">
        <v>39</v>
      </c>
      <c r="K77" s="38" t="s">
        <v>44</v>
      </c>
      <c r="L77" s="56"/>
      <c r="M77" s="26"/>
      <c r="N77" s="26"/>
      <c r="O77" s="57"/>
      <c r="P77" s="54"/>
    </row>
    <row r="78" spans="1:16" ht="14.25" customHeight="1">
      <c r="A78" s="49"/>
      <c r="B78" s="46"/>
      <c r="C78" s="94"/>
      <c r="D78" s="53"/>
      <c r="E78" s="95"/>
      <c r="F78" s="104" t="s">
        <v>155</v>
      </c>
      <c r="G78" s="111">
        <v>8</v>
      </c>
      <c r="H78" s="111"/>
      <c r="I78" s="111">
        <v>8</v>
      </c>
      <c r="J78" s="38" t="s">
        <v>39</v>
      </c>
      <c r="K78" s="38" t="s">
        <v>44</v>
      </c>
      <c r="L78" s="56"/>
      <c r="M78" s="26"/>
      <c r="N78" s="26"/>
      <c r="O78" s="57"/>
      <c r="P78" s="54" t="s">
        <v>156</v>
      </c>
    </row>
    <row r="79" spans="1:16" ht="14.25" customHeight="1">
      <c r="A79" s="49"/>
      <c r="B79" s="46"/>
      <c r="C79" s="94"/>
      <c r="D79" s="53"/>
      <c r="E79" s="95"/>
      <c r="F79" s="104" t="s">
        <v>157</v>
      </c>
      <c r="G79" s="111">
        <v>9</v>
      </c>
      <c r="H79" s="111"/>
      <c r="I79" s="111">
        <v>8</v>
      </c>
      <c r="J79" s="38" t="s">
        <v>39</v>
      </c>
      <c r="K79" s="38" t="s">
        <v>44</v>
      </c>
      <c r="L79" s="56"/>
      <c r="M79" s="26"/>
      <c r="N79" s="26"/>
      <c r="O79" s="57"/>
      <c r="P79" s="54" t="s">
        <v>158</v>
      </c>
    </row>
    <row r="80" spans="1:16" ht="14.25" customHeight="1">
      <c r="A80" s="49"/>
      <c r="B80" s="46"/>
      <c r="C80" s="94"/>
      <c r="D80" s="53"/>
      <c r="E80" s="95"/>
      <c r="F80" s="104" t="s">
        <v>159</v>
      </c>
      <c r="G80" s="111">
        <v>10</v>
      </c>
      <c r="H80" s="111"/>
      <c r="I80" s="111">
        <v>8</v>
      </c>
      <c r="J80" s="38" t="s">
        <v>39</v>
      </c>
      <c r="K80" s="38" t="s">
        <v>44</v>
      </c>
      <c r="L80" s="56"/>
      <c r="M80" s="26"/>
      <c r="N80" s="26"/>
      <c r="O80" s="57"/>
      <c r="P80" s="54" t="s">
        <v>160</v>
      </c>
    </row>
    <row r="81" spans="1:16" ht="14.25" customHeight="1">
      <c r="A81" s="49"/>
      <c r="B81" s="46"/>
      <c r="C81" s="94"/>
      <c r="D81" s="53"/>
      <c r="E81" s="95"/>
      <c r="F81" s="104" t="s">
        <v>106</v>
      </c>
      <c r="G81" s="111">
        <v>11</v>
      </c>
      <c r="H81" s="111"/>
      <c r="I81" s="111">
        <v>8</v>
      </c>
      <c r="J81" s="38" t="s">
        <v>27</v>
      </c>
      <c r="K81" s="38" t="s">
        <v>62</v>
      </c>
      <c r="L81" s="56"/>
      <c r="M81" s="26"/>
      <c r="N81" s="26"/>
      <c r="O81" s="57"/>
      <c r="P81" s="54"/>
    </row>
    <row r="82" spans="1:16" ht="14.25" customHeight="1">
      <c r="A82" s="65"/>
      <c r="B82" s="66"/>
      <c r="C82" s="67"/>
      <c r="D82" s="68"/>
      <c r="E82" s="65"/>
      <c r="F82" s="69"/>
      <c r="G82" s="66"/>
      <c r="H82" s="66"/>
      <c r="I82" s="66"/>
      <c r="J82" s="69"/>
      <c r="K82" s="70"/>
      <c r="L82" s="69"/>
      <c r="M82" s="41"/>
      <c r="N82" s="41"/>
      <c r="O82" s="41"/>
      <c r="P82" s="70"/>
    </row>
    <row r="83" spans="1:16" ht="14.25" customHeight="1">
      <c r="A83" s="26" t="s">
        <v>56</v>
      </c>
      <c r="B83" s="46" t="s">
        <v>18</v>
      </c>
      <c r="C83" s="94" t="s">
        <v>161</v>
      </c>
      <c r="D83" s="53" t="s">
        <v>162</v>
      </c>
      <c r="E83" s="95" t="s">
        <v>21</v>
      </c>
      <c r="F83" s="109"/>
      <c r="G83" s="110"/>
      <c r="H83" s="110"/>
      <c r="I83" s="110"/>
      <c r="J83" s="38"/>
      <c r="K83" s="38"/>
      <c r="L83" s="56"/>
      <c r="M83" s="39" t="s">
        <v>113</v>
      </c>
      <c r="N83" s="34" t="s">
        <v>60</v>
      </c>
      <c r="O83" s="10" t="s">
        <v>68</v>
      </c>
      <c r="P83" s="54"/>
    </row>
    <row r="84" spans="1:16" ht="14.25" customHeight="1">
      <c r="A84" s="49"/>
      <c r="B84" s="46"/>
      <c r="C84" s="94"/>
      <c r="D84" s="53"/>
      <c r="E84" s="95" t="s">
        <v>25</v>
      </c>
      <c r="F84" s="112" t="s">
        <v>163</v>
      </c>
      <c r="G84" s="110">
        <v>4</v>
      </c>
      <c r="H84" s="110">
        <v>0</v>
      </c>
      <c r="I84" s="110">
        <v>8</v>
      </c>
      <c r="J84" s="38" t="s">
        <v>27</v>
      </c>
      <c r="K84" s="32" t="s">
        <v>62</v>
      </c>
      <c r="L84" s="56"/>
      <c r="M84" s="26"/>
      <c r="N84" s="26"/>
      <c r="O84" s="57"/>
      <c r="P84" s="54" t="s">
        <v>63</v>
      </c>
    </row>
    <row r="85" spans="1:16" ht="14.25" customHeight="1">
      <c r="A85" s="65"/>
      <c r="B85" s="66"/>
      <c r="C85" s="67"/>
      <c r="D85" s="68"/>
      <c r="E85" s="65"/>
      <c r="F85" s="69"/>
      <c r="G85" s="66"/>
      <c r="H85" s="66"/>
      <c r="I85" s="66"/>
      <c r="J85" s="69"/>
      <c r="K85" s="70"/>
      <c r="L85" s="69"/>
      <c r="M85" s="41"/>
      <c r="N85" s="41"/>
      <c r="O85" s="41"/>
      <c r="P85" s="70"/>
    </row>
    <row r="86" spans="1:16" ht="14.25" customHeight="1">
      <c r="A86" s="26" t="s">
        <v>56</v>
      </c>
      <c r="B86" s="46" t="s">
        <v>18</v>
      </c>
      <c r="C86" s="94" t="s">
        <v>164</v>
      </c>
      <c r="D86" s="53" t="s">
        <v>165</v>
      </c>
      <c r="E86" s="95" t="s">
        <v>21</v>
      </c>
      <c r="F86" s="112" t="s">
        <v>166</v>
      </c>
      <c r="G86" s="110">
        <v>4</v>
      </c>
      <c r="H86" s="110">
        <v>0</v>
      </c>
      <c r="I86" s="110">
        <v>8</v>
      </c>
      <c r="J86" s="38" t="s">
        <v>27</v>
      </c>
      <c r="K86" s="32" t="s">
        <v>167</v>
      </c>
      <c r="L86" s="56"/>
      <c r="M86" s="39" t="s">
        <v>113</v>
      </c>
      <c r="N86" s="34" t="s">
        <v>60</v>
      </c>
      <c r="O86" s="10" t="s">
        <v>68</v>
      </c>
      <c r="P86" s="54" t="s">
        <v>168</v>
      </c>
    </row>
    <row r="87" spans="1:16" ht="14.25" customHeight="1">
      <c r="A87" s="49"/>
      <c r="B87" s="46"/>
      <c r="C87" s="94"/>
      <c r="D87" s="53"/>
      <c r="E87" s="95" t="s">
        <v>25</v>
      </c>
      <c r="F87" s="112" t="s">
        <v>166</v>
      </c>
      <c r="G87" s="110">
        <v>4</v>
      </c>
      <c r="H87" s="110">
        <v>0</v>
      </c>
      <c r="I87" s="110">
        <v>8</v>
      </c>
      <c r="J87" s="38" t="s">
        <v>27</v>
      </c>
      <c r="K87" s="32" t="s">
        <v>167</v>
      </c>
      <c r="L87" s="56"/>
      <c r="M87" s="26"/>
      <c r="N87" s="26"/>
      <c r="O87" s="57"/>
      <c r="P87" s="54" t="s">
        <v>168</v>
      </c>
    </row>
    <row r="88" spans="1:16" ht="14.25" customHeight="1">
      <c r="A88" s="49"/>
      <c r="B88" s="46"/>
      <c r="C88" s="94"/>
      <c r="D88" s="53"/>
      <c r="E88" s="95"/>
      <c r="F88" s="112" t="s">
        <v>169</v>
      </c>
      <c r="G88" s="110">
        <v>5</v>
      </c>
      <c r="H88" s="110">
        <v>0</v>
      </c>
      <c r="I88" s="110">
        <v>32</v>
      </c>
      <c r="J88" s="38" t="s">
        <v>39</v>
      </c>
      <c r="K88" s="38" t="s">
        <v>78</v>
      </c>
      <c r="L88" s="56"/>
      <c r="M88" s="26"/>
      <c r="N88" s="26"/>
      <c r="O88" s="57"/>
      <c r="P88" s="48" t="s">
        <v>170</v>
      </c>
    </row>
    <row r="89" spans="1:16" ht="14.25" customHeight="1">
      <c r="A89" s="65"/>
      <c r="B89" s="66"/>
      <c r="C89" s="67"/>
      <c r="D89" s="68"/>
      <c r="E89" s="65"/>
      <c r="F89" s="69"/>
      <c r="G89" s="66"/>
      <c r="H89" s="66"/>
      <c r="I89" s="66"/>
      <c r="J89" s="69"/>
      <c r="K89" s="70"/>
      <c r="L89" s="69"/>
      <c r="M89" s="41"/>
      <c r="N89" s="41"/>
      <c r="O89" s="41"/>
      <c r="P89" s="70"/>
    </row>
    <row r="90" spans="1:16" ht="14.25" customHeight="1">
      <c r="A90" s="26" t="s">
        <v>56</v>
      </c>
      <c r="B90" s="26" t="s">
        <v>18</v>
      </c>
      <c r="C90" s="53" t="s">
        <v>171</v>
      </c>
      <c r="D90" s="53" t="s">
        <v>172</v>
      </c>
      <c r="E90" s="51" t="s">
        <v>21</v>
      </c>
      <c r="F90" s="113" t="s">
        <v>173</v>
      </c>
      <c r="G90" s="114">
        <v>4</v>
      </c>
      <c r="H90" s="114">
        <v>0</v>
      </c>
      <c r="I90" s="114">
        <v>8</v>
      </c>
      <c r="J90" s="38" t="s">
        <v>27</v>
      </c>
      <c r="K90" s="32" t="s">
        <v>174</v>
      </c>
      <c r="L90" s="52" t="s">
        <v>73</v>
      </c>
      <c r="M90" s="39" t="s">
        <v>113</v>
      </c>
      <c r="N90" s="34" t="s">
        <v>60</v>
      </c>
      <c r="O90" s="10" t="s">
        <v>68</v>
      </c>
      <c r="P90" s="48" t="s">
        <v>175</v>
      </c>
    </row>
    <row r="91" spans="1:16" ht="14.25" customHeight="1">
      <c r="A91" s="49"/>
      <c r="B91" s="26"/>
      <c r="C91" s="53"/>
      <c r="D91" s="53"/>
      <c r="E91" s="53" t="s">
        <v>176</v>
      </c>
      <c r="F91" s="115" t="s">
        <v>173</v>
      </c>
      <c r="G91" s="116">
        <v>4</v>
      </c>
      <c r="H91" s="116">
        <v>0</v>
      </c>
      <c r="I91" s="116">
        <v>8</v>
      </c>
      <c r="J91" s="38" t="s">
        <v>27</v>
      </c>
      <c r="K91" s="32" t="s">
        <v>174</v>
      </c>
      <c r="L91" s="58" t="s">
        <v>73</v>
      </c>
      <c r="M91" s="62" t="s">
        <v>73</v>
      </c>
      <c r="N91" s="62"/>
      <c r="O91" s="63" t="s">
        <v>73</v>
      </c>
      <c r="P91" s="58" t="s">
        <v>177</v>
      </c>
    </row>
    <row r="92" spans="1:16" ht="14.25" customHeight="1">
      <c r="A92" s="49"/>
      <c r="B92" s="26"/>
      <c r="C92" s="53"/>
      <c r="D92" s="53"/>
      <c r="E92" s="53"/>
      <c r="F92" s="117" t="s">
        <v>178</v>
      </c>
      <c r="G92" s="116">
        <v>5</v>
      </c>
      <c r="H92" s="116">
        <v>0</v>
      </c>
      <c r="I92" s="116">
        <v>8</v>
      </c>
      <c r="J92" s="58" t="s">
        <v>39</v>
      </c>
      <c r="K92" s="38" t="s">
        <v>44</v>
      </c>
      <c r="L92" s="58" t="s">
        <v>73</v>
      </c>
      <c r="M92" s="62" t="s">
        <v>73</v>
      </c>
      <c r="N92" s="62"/>
      <c r="O92" s="63" t="s">
        <v>73</v>
      </c>
      <c r="P92" s="58"/>
    </row>
    <row r="93" spans="1:16" ht="14.25" customHeight="1">
      <c r="A93" s="65"/>
      <c r="B93" s="66"/>
      <c r="C93" s="67"/>
      <c r="D93" s="68"/>
      <c r="E93" s="65"/>
      <c r="F93" s="69"/>
      <c r="G93" s="66"/>
      <c r="H93" s="66"/>
      <c r="I93" s="66"/>
      <c r="J93" s="69"/>
      <c r="K93" s="70"/>
      <c r="L93" s="69"/>
      <c r="M93" s="41"/>
      <c r="N93" s="41"/>
      <c r="O93" s="41"/>
      <c r="P93" s="70"/>
    </row>
    <row r="94" spans="1:16" ht="14.25" customHeight="1">
      <c r="A94" s="26" t="s">
        <v>56</v>
      </c>
      <c r="B94" s="106" t="s">
        <v>18</v>
      </c>
      <c r="C94" s="118" t="s">
        <v>179</v>
      </c>
      <c r="D94" s="87" t="s">
        <v>180</v>
      </c>
      <c r="E94" s="48" t="s">
        <v>21</v>
      </c>
      <c r="F94" s="113" t="s">
        <v>181</v>
      </c>
      <c r="G94" s="119"/>
      <c r="H94" s="119"/>
      <c r="I94" s="119"/>
      <c r="J94" s="48"/>
      <c r="K94" s="48"/>
      <c r="L94" s="87"/>
      <c r="M94" s="88" t="s">
        <v>182</v>
      </c>
      <c r="N94" s="34" t="s">
        <v>60</v>
      </c>
      <c r="O94" s="10" t="s">
        <v>68</v>
      </c>
      <c r="P94" s="48" t="s">
        <v>183</v>
      </c>
    </row>
    <row r="95" spans="1:16" ht="14.25" customHeight="1">
      <c r="A95" s="77"/>
      <c r="B95" s="106"/>
      <c r="C95" s="107"/>
      <c r="D95" s="87"/>
      <c r="E95" s="48" t="s">
        <v>25</v>
      </c>
      <c r="F95" s="113" t="s">
        <v>181</v>
      </c>
      <c r="G95" s="119"/>
      <c r="H95" s="119"/>
      <c r="I95" s="119"/>
      <c r="J95" s="48"/>
      <c r="K95" s="48"/>
      <c r="L95" s="87"/>
      <c r="M95" s="88"/>
      <c r="N95" s="88"/>
      <c r="O95" s="108"/>
      <c r="P95" s="48"/>
    </row>
    <row r="96" spans="1:16" ht="14.25" customHeight="1">
      <c r="A96" s="65"/>
      <c r="B96" s="66"/>
      <c r="C96" s="67"/>
      <c r="D96" s="68"/>
      <c r="E96" s="65"/>
      <c r="F96" s="69"/>
      <c r="G96" s="66"/>
      <c r="H96" s="66"/>
      <c r="I96" s="66"/>
      <c r="J96" s="69"/>
      <c r="K96" s="70"/>
      <c r="L96" s="69"/>
      <c r="M96" s="41"/>
      <c r="N96" s="41"/>
      <c r="O96" s="41"/>
      <c r="P96" s="70"/>
    </row>
    <row r="97" spans="1:16" ht="14.25" customHeight="1">
      <c r="A97" s="26" t="s">
        <v>56</v>
      </c>
      <c r="B97" s="46" t="s">
        <v>18</v>
      </c>
      <c r="C97" s="94" t="s">
        <v>184</v>
      </c>
      <c r="D97" s="53" t="s">
        <v>185</v>
      </c>
      <c r="E97" s="95" t="s">
        <v>21</v>
      </c>
      <c r="F97" s="112" t="s">
        <v>186</v>
      </c>
      <c r="G97" s="110">
        <v>4</v>
      </c>
      <c r="H97" s="110">
        <v>0</v>
      </c>
      <c r="I97" s="110">
        <v>8</v>
      </c>
      <c r="J97" s="38" t="s">
        <v>27</v>
      </c>
      <c r="K97" s="32" t="s">
        <v>187</v>
      </c>
      <c r="L97" s="56"/>
      <c r="M97" s="39" t="s">
        <v>113</v>
      </c>
      <c r="N97" s="34" t="s">
        <v>60</v>
      </c>
      <c r="O97" s="10" t="s">
        <v>68</v>
      </c>
      <c r="P97" s="54" t="s">
        <v>188</v>
      </c>
    </row>
    <row r="98" spans="1:16" ht="14.25" customHeight="1">
      <c r="A98" s="49"/>
      <c r="B98" s="46"/>
      <c r="C98" s="94"/>
      <c r="D98" s="53"/>
      <c r="E98" s="98"/>
      <c r="F98" s="104" t="s">
        <v>189</v>
      </c>
      <c r="G98" s="111">
        <v>5</v>
      </c>
      <c r="H98" s="111">
        <v>0</v>
      </c>
      <c r="I98" s="111">
        <v>32</v>
      </c>
      <c r="J98" s="58" t="s">
        <v>39</v>
      </c>
      <c r="K98" s="32" t="s">
        <v>78</v>
      </c>
      <c r="L98" s="87" t="s">
        <v>190</v>
      </c>
      <c r="M98" s="26"/>
      <c r="N98" s="26"/>
      <c r="O98" s="57"/>
      <c r="P98" s="54"/>
    </row>
    <row r="99" spans="1:16" ht="14.25" customHeight="1">
      <c r="A99" s="49"/>
      <c r="B99" s="46"/>
      <c r="C99" s="94"/>
      <c r="D99" s="53"/>
      <c r="E99" s="120" t="s">
        <v>25</v>
      </c>
      <c r="F99" s="112" t="s">
        <v>186</v>
      </c>
      <c r="G99" s="110">
        <v>4</v>
      </c>
      <c r="H99" s="110">
        <v>0</v>
      </c>
      <c r="I99" s="110">
        <v>8</v>
      </c>
      <c r="J99" s="38" t="s">
        <v>27</v>
      </c>
      <c r="K99" s="32" t="s">
        <v>187</v>
      </c>
      <c r="L99" s="74"/>
      <c r="M99" s="26"/>
      <c r="N99" s="26"/>
      <c r="O99" s="57"/>
      <c r="P99" s="54" t="s">
        <v>188</v>
      </c>
    </row>
    <row r="100" spans="1:16" ht="14.25" customHeight="1">
      <c r="A100" s="49"/>
      <c r="B100" s="46"/>
      <c r="C100" s="94"/>
      <c r="D100" s="53"/>
      <c r="E100" s="121"/>
      <c r="F100" s="112" t="s">
        <v>84</v>
      </c>
      <c r="G100" s="110">
        <v>5</v>
      </c>
      <c r="H100" s="110">
        <v>0</v>
      </c>
      <c r="I100" s="110">
        <v>32</v>
      </c>
      <c r="J100" s="38" t="s">
        <v>39</v>
      </c>
      <c r="K100" s="38" t="s">
        <v>78</v>
      </c>
      <c r="L100" s="87" t="s">
        <v>85</v>
      </c>
      <c r="M100" s="26"/>
      <c r="N100" s="26"/>
      <c r="O100" s="57"/>
      <c r="P100" s="48" t="s">
        <v>86</v>
      </c>
    </row>
    <row r="101" spans="1:16" ht="14.25" customHeight="1">
      <c r="A101" s="49"/>
      <c r="B101" s="46"/>
      <c r="C101" s="94"/>
      <c r="D101" s="53"/>
      <c r="E101" s="121"/>
      <c r="F101" s="104" t="s">
        <v>191</v>
      </c>
      <c r="G101" s="111">
        <v>9</v>
      </c>
      <c r="H101" s="111">
        <v>0</v>
      </c>
      <c r="I101" s="111">
        <v>64</v>
      </c>
      <c r="J101" s="38" t="s">
        <v>39</v>
      </c>
      <c r="K101" s="38" t="s">
        <v>78</v>
      </c>
      <c r="L101" s="87" t="s">
        <v>88</v>
      </c>
      <c r="M101" s="26"/>
      <c r="N101" s="26"/>
      <c r="O101" s="57"/>
      <c r="P101" s="54"/>
    </row>
    <row r="102" spans="1:16" ht="14.25" customHeight="1">
      <c r="A102" s="65"/>
      <c r="B102" s="66"/>
      <c r="C102" s="67"/>
      <c r="D102" s="68"/>
      <c r="E102" s="65"/>
      <c r="F102" s="69"/>
      <c r="G102" s="66"/>
      <c r="H102" s="66"/>
      <c r="I102" s="66"/>
      <c r="J102" s="69"/>
      <c r="K102" s="70"/>
      <c r="L102" s="69"/>
      <c r="M102" s="41"/>
      <c r="N102" s="41"/>
      <c r="O102" s="41"/>
      <c r="P102" s="70"/>
    </row>
    <row r="103" spans="1:16" ht="14.25" customHeight="1">
      <c r="A103" s="26" t="s">
        <v>56</v>
      </c>
      <c r="B103" s="46" t="s">
        <v>18</v>
      </c>
      <c r="C103" s="94" t="s">
        <v>192</v>
      </c>
      <c r="D103" s="53" t="s">
        <v>193</v>
      </c>
      <c r="E103" s="95" t="s">
        <v>21</v>
      </c>
      <c r="F103" s="104" t="s">
        <v>194</v>
      </c>
      <c r="G103" s="111">
        <v>4</v>
      </c>
      <c r="H103" s="111">
        <v>0</v>
      </c>
      <c r="I103" s="111">
        <v>432</v>
      </c>
      <c r="J103" s="38"/>
      <c r="K103" s="38"/>
      <c r="L103" s="56"/>
      <c r="M103" s="39" t="s">
        <v>113</v>
      </c>
      <c r="N103" s="34" t="s">
        <v>60</v>
      </c>
      <c r="O103" s="22" t="s">
        <v>23</v>
      </c>
      <c r="P103" s="48" t="s">
        <v>195</v>
      </c>
    </row>
    <row r="104" spans="1:16" ht="14.25" customHeight="1">
      <c r="A104" s="49"/>
      <c r="B104" s="46"/>
      <c r="C104" s="94"/>
      <c r="D104" s="53"/>
      <c r="E104" s="122" t="s">
        <v>25</v>
      </c>
      <c r="F104" s="104" t="s">
        <v>163</v>
      </c>
      <c r="G104" s="111">
        <v>4</v>
      </c>
      <c r="H104" s="111">
        <v>0</v>
      </c>
      <c r="I104" s="111">
        <v>8</v>
      </c>
      <c r="J104" s="38" t="s">
        <v>27</v>
      </c>
      <c r="K104" s="32" t="s">
        <v>62</v>
      </c>
      <c r="L104" s="56"/>
      <c r="M104" s="26"/>
      <c r="N104" s="26"/>
      <c r="O104" s="57"/>
      <c r="P104" s="54" t="s">
        <v>63</v>
      </c>
    </row>
    <row r="105" spans="1:16" ht="14.25" customHeight="1">
      <c r="A105" s="65"/>
      <c r="B105" s="66"/>
      <c r="C105" s="67"/>
      <c r="D105" s="68"/>
      <c r="E105" s="65"/>
      <c r="F105" s="69"/>
      <c r="G105" s="66"/>
      <c r="H105" s="66"/>
      <c r="I105" s="66"/>
      <c r="J105" s="69"/>
      <c r="K105" s="70"/>
      <c r="L105" s="69"/>
      <c r="M105" s="41"/>
      <c r="N105" s="41"/>
      <c r="O105" s="41"/>
      <c r="P105" s="70"/>
    </row>
    <row r="106" spans="1:16" ht="14.25" customHeight="1">
      <c r="A106" s="26" t="s">
        <v>56</v>
      </c>
      <c r="B106" s="46" t="s">
        <v>18</v>
      </c>
      <c r="C106" s="53" t="s">
        <v>196</v>
      </c>
      <c r="D106" s="53" t="s">
        <v>197</v>
      </c>
      <c r="E106" s="52" t="s">
        <v>21</v>
      </c>
      <c r="F106" s="113" t="s">
        <v>73</v>
      </c>
      <c r="G106" s="114" t="s">
        <v>73</v>
      </c>
      <c r="H106" s="114" t="s">
        <v>73</v>
      </c>
      <c r="I106" s="114" t="s">
        <v>73</v>
      </c>
      <c r="J106" s="52" t="s">
        <v>73</v>
      </c>
      <c r="K106" s="52" t="s">
        <v>73</v>
      </c>
      <c r="L106" s="52" t="s">
        <v>73</v>
      </c>
      <c r="M106" s="39" t="s">
        <v>113</v>
      </c>
      <c r="N106" s="34" t="s">
        <v>60</v>
      </c>
      <c r="O106" s="10" t="s">
        <v>68</v>
      </c>
      <c r="P106" s="52" t="s">
        <v>73</v>
      </c>
    </row>
    <row r="107" spans="1:16" ht="14.25" customHeight="1">
      <c r="A107" s="49"/>
      <c r="B107" s="46"/>
      <c r="C107" s="53"/>
      <c r="D107" s="53"/>
      <c r="E107" s="123" t="s">
        <v>25</v>
      </c>
      <c r="F107" s="124" t="s">
        <v>198</v>
      </c>
      <c r="G107" s="61">
        <v>4</v>
      </c>
      <c r="H107" s="61">
        <v>0</v>
      </c>
      <c r="I107" s="61">
        <v>256</v>
      </c>
      <c r="J107" s="58" t="s">
        <v>39</v>
      </c>
      <c r="K107" s="58" t="s">
        <v>44</v>
      </c>
      <c r="L107" s="58" t="s">
        <v>73</v>
      </c>
      <c r="M107" s="62" t="s">
        <v>73</v>
      </c>
      <c r="N107" s="62"/>
      <c r="O107" s="63" t="s">
        <v>73</v>
      </c>
      <c r="P107" s="58" t="s">
        <v>73</v>
      </c>
    </row>
    <row r="108" spans="1:16" ht="14.25" customHeight="1">
      <c r="A108" s="65"/>
      <c r="B108" s="125" t="s">
        <v>73</v>
      </c>
      <c r="C108" s="126" t="s">
        <v>73</v>
      </c>
      <c r="D108" s="126" t="s">
        <v>73</v>
      </c>
      <c r="E108" s="126" t="s">
        <v>73</v>
      </c>
      <c r="F108" s="126" t="s">
        <v>73</v>
      </c>
      <c r="G108" s="127" t="s">
        <v>73</v>
      </c>
      <c r="H108" s="127" t="s">
        <v>73</v>
      </c>
      <c r="I108" s="127" t="s">
        <v>73</v>
      </c>
      <c r="J108" s="126" t="s">
        <v>73</v>
      </c>
      <c r="K108" s="126" t="s">
        <v>73</v>
      </c>
      <c r="L108" s="126" t="s">
        <v>73</v>
      </c>
      <c r="M108" s="128" t="s">
        <v>73</v>
      </c>
      <c r="N108" s="128"/>
      <c r="O108" s="129" t="s">
        <v>73</v>
      </c>
      <c r="P108" s="126" t="s">
        <v>73</v>
      </c>
    </row>
    <row r="109" spans="1:16" ht="14.25" customHeight="1">
      <c r="A109" s="26" t="s">
        <v>56</v>
      </c>
      <c r="B109" s="59" t="s">
        <v>18</v>
      </c>
      <c r="C109" s="53" t="s">
        <v>199</v>
      </c>
      <c r="D109" s="53" t="s">
        <v>200</v>
      </c>
      <c r="E109" s="52" t="s">
        <v>21</v>
      </c>
      <c r="F109" s="113" t="s">
        <v>73</v>
      </c>
      <c r="G109" s="114" t="s">
        <v>73</v>
      </c>
      <c r="H109" s="114" t="s">
        <v>73</v>
      </c>
      <c r="I109" s="114" t="s">
        <v>73</v>
      </c>
      <c r="J109" s="52" t="s">
        <v>73</v>
      </c>
      <c r="K109" s="52" t="s">
        <v>73</v>
      </c>
      <c r="L109" s="52" t="s">
        <v>73</v>
      </c>
      <c r="M109" s="39" t="s">
        <v>113</v>
      </c>
      <c r="N109" s="34" t="s">
        <v>60</v>
      </c>
      <c r="O109" s="22" t="s">
        <v>23</v>
      </c>
      <c r="P109" s="52" t="s">
        <v>73</v>
      </c>
    </row>
    <row r="110" spans="1:16" ht="14.25" customHeight="1">
      <c r="A110" s="49"/>
      <c r="B110" s="26"/>
      <c r="C110" s="53"/>
      <c r="D110" s="53"/>
      <c r="E110" s="58" t="s">
        <v>25</v>
      </c>
      <c r="F110" s="124" t="s">
        <v>201</v>
      </c>
      <c r="G110" s="61">
        <v>4</v>
      </c>
      <c r="H110" s="61">
        <v>0</v>
      </c>
      <c r="I110" s="61">
        <v>432</v>
      </c>
      <c r="J110" s="58" t="s">
        <v>39</v>
      </c>
      <c r="K110" s="58" t="s">
        <v>44</v>
      </c>
      <c r="L110" s="58" t="s">
        <v>73</v>
      </c>
      <c r="M110" s="62" t="s">
        <v>73</v>
      </c>
      <c r="N110" s="62"/>
      <c r="O110" s="63" t="s">
        <v>73</v>
      </c>
      <c r="P110" s="58" t="s">
        <v>73</v>
      </c>
    </row>
    <row r="111" spans="1:16" ht="14.25" customHeight="1">
      <c r="A111" s="65"/>
      <c r="B111" s="125" t="s">
        <v>73</v>
      </c>
      <c r="C111" s="126" t="s">
        <v>73</v>
      </c>
      <c r="D111" s="126" t="s">
        <v>73</v>
      </c>
      <c r="E111" s="126" t="s">
        <v>73</v>
      </c>
      <c r="F111" s="126" t="s">
        <v>73</v>
      </c>
      <c r="G111" s="127" t="s">
        <v>73</v>
      </c>
      <c r="H111" s="127" t="s">
        <v>73</v>
      </c>
      <c r="I111" s="127" t="s">
        <v>73</v>
      </c>
      <c r="J111" s="126" t="s">
        <v>73</v>
      </c>
      <c r="K111" s="126" t="s">
        <v>73</v>
      </c>
      <c r="L111" s="126" t="s">
        <v>73</v>
      </c>
      <c r="M111" s="128" t="s">
        <v>73</v>
      </c>
      <c r="N111" s="128"/>
      <c r="O111" s="129" t="s">
        <v>73</v>
      </c>
      <c r="P111" s="126" t="s">
        <v>73</v>
      </c>
    </row>
    <row r="112" spans="1:16" ht="14.25" customHeight="1">
      <c r="A112" s="26" t="s">
        <v>56</v>
      </c>
      <c r="B112" s="59" t="s">
        <v>18</v>
      </c>
      <c r="C112" s="53" t="s">
        <v>202</v>
      </c>
      <c r="D112" s="53" t="s">
        <v>203</v>
      </c>
      <c r="E112" s="58" t="s">
        <v>21</v>
      </c>
      <c r="F112" s="124" t="s">
        <v>73</v>
      </c>
      <c r="G112" s="61" t="s">
        <v>73</v>
      </c>
      <c r="H112" s="61" t="s">
        <v>73</v>
      </c>
      <c r="I112" s="61" t="s">
        <v>73</v>
      </c>
      <c r="J112" s="58" t="s">
        <v>73</v>
      </c>
      <c r="K112" s="58" t="s">
        <v>73</v>
      </c>
      <c r="L112" s="58" t="s">
        <v>73</v>
      </c>
      <c r="M112" s="39" t="s">
        <v>113</v>
      </c>
      <c r="N112" s="34" t="s">
        <v>60</v>
      </c>
      <c r="O112" s="22" t="s">
        <v>23</v>
      </c>
      <c r="P112" s="58" t="s">
        <v>73</v>
      </c>
    </row>
    <row r="113" spans="1:16" ht="14.25" customHeight="1">
      <c r="A113" s="49"/>
      <c r="B113" s="26"/>
      <c r="C113" s="53"/>
      <c r="D113" s="53"/>
      <c r="E113" s="58" t="s">
        <v>25</v>
      </c>
      <c r="F113" s="124" t="s">
        <v>163</v>
      </c>
      <c r="G113" s="61">
        <v>4</v>
      </c>
      <c r="H113" s="61">
        <v>0</v>
      </c>
      <c r="I113" s="61">
        <v>8</v>
      </c>
      <c r="J113" s="38" t="s">
        <v>27</v>
      </c>
      <c r="K113" s="32" t="s">
        <v>62</v>
      </c>
      <c r="L113" s="58" t="s">
        <v>73</v>
      </c>
      <c r="M113" s="62" t="s">
        <v>73</v>
      </c>
      <c r="N113" s="62"/>
      <c r="O113" s="63" t="s">
        <v>73</v>
      </c>
      <c r="P113" s="123" t="s">
        <v>204</v>
      </c>
    </row>
    <row r="114" spans="1:16" ht="14.25" customHeight="1">
      <c r="A114" s="40"/>
      <c r="B114" s="130"/>
      <c r="C114" s="131"/>
      <c r="D114" s="131"/>
      <c r="E114" s="131"/>
      <c r="F114" s="131"/>
      <c r="G114" s="130"/>
      <c r="H114" s="130"/>
      <c r="I114" s="130"/>
      <c r="J114" s="131"/>
      <c r="K114" s="131"/>
      <c r="L114" s="131"/>
      <c r="M114" s="132"/>
      <c r="N114" s="132"/>
      <c r="O114" s="133"/>
      <c r="P114" s="131"/>
    </row>
    <row r="115" spans="1:16" ht="14.25" customHeight="1">
      <c r="A115" s="26" t="s">
        <v>56</v>
      </c>
      <c r="B115" s="89" t="s">
        <v>18</v>
      </c>
      <c r="C115" s="28" t="s">
        <v>205</v>
      </c>
      <c r="D115" s="29" t="s">
        <v>206</v>
      </c>
      <c r="E115" s="30" t="s">
        <v>21</v>
      </c>
      <c r="F115" s="30"/>
      <c r="G115" s="31"/>
      <c r="H115" s="31"/>
      <c r="I115" s="31"/>
      <c r="J115" s="32"/>
      <c r="K115" s="32"/>
      <c r="L115" s="33"/>
      <c r="M115" s="39" t="s">
        <v>113</v>
      </c>
      <c r="N115" s="34" t="s">
        <v>60</v>
      </c>
      <c r="O115" s="22" t="s">
        <v>23</v>
      </c>
      <c r="P115" s="30"/>
    </row>
    <row r="116" spans="1:16" ht="14.25" customHeight="1">
      <c r="A116" s="92"/>
      <c r="B116" s="89"/>
      <c r="C116" s="28"/>
      <c r="D116" s="29"/>
      <c r="E116" s="37" t="s">
        <v>25</v>
      </c>
      <c r="F116" s="30" t="s">
        <v>61</v>
      </c>
      <c r="G116" s="31">
        <v>4</v>
      </c>
      <c r="H116" s="31">
        <v>0</v>
      </c>
      <c r="I116" s="31">
        <v>8</v>
      </c>
      <c r="J116" s="38" t="s">
        <v>27</v>
      </c>
      <c r="K116" s="32" t="s">
        <v>207</v>
      </c>
      <c r="L116" s="33"/>
      <c r="M116" s="39"/>
      <c r="N116" s="39"/>
      <c r="O116" s="15"/>
      <c r="P116" s="30" t="s">
        <v>208</v>
      </c>
    </row>
    <row r="117" spans="1:16" ht="14.25" customHeight="1">
      <c r="A117" s="134"/>
      <c r="B117" s="130"/>
      <c r="C117" s="131"/>
      <c r="D117" s="131"/>
      <c r="E117" s="131"/>
      <c r="F117" s="131"/>
      <c r="G117" s="135"/>
      <c r="H117" s="135"/>
      <c r="I117" s="135"/>
      <c r="J117" s="131"/>
      <c r="K117" s="131"/>
      <c r="L117" s="131"/>
      <c r="M117" s="133"/>
      <c r="N117" s="132"/>
      <c r="O117" s="133"/>
      <c r="P117" s="131"/>
    </row>
    <row r="118" spans="1:16" ht="14.25" customHeight="1">
      <c r="A118" s="136" t="s">
        <v>56</v>
      </c>
      <c r="B118" s="89" t="s">
        <v>18</v>
      </c>
      <c r="C118" s="28" t="s">
        <v>209</v>
      </c>
      <c r="D118" s="29" t="s">
        <v>210</v>
      </c>
      <c r="E118" s="37" t="s">
        <v>21</v>
      </c>
      <c r="F118" s="37"/>
      <c r="G118" s="137"/>
      <c r="H118" s="137"/>
      <c r="I118" s="137"/>
      <c r="J118" s="29"/>
      <c r="K118" s="29"/>
      <c r="L118" s="138"/>
      <c r="M118" s="103" t="s">
        <v>22</v>
      </c>
      <c r="N118" s="34" t="s">
        <v>60</v>
      </c>
      <c r="O118" s="22" t="s">
        <v>23</v>
      </c>
      <c r="P118" s="37"/>
    </row>
    <row r="119" spans="1:16" ht="14.25" customHeight="1">
      <c r="A119" s="139"/>
      <c r="B119" s="89"/>
      <c r="C119" s="28"/>
      <c r="D119" s="29"/>
      <c r="E119" s="37" t="s">
        <v>25</v>
      </c>
      <c r="F119" s="37" t="s">
        <v>61</v>
      </c>
      <c r="G119" s="137">
        <v>4</v>
      </c>
      <c r="H119" s="137">
        <v>0</v>
      </c>
      <c r="I119" s="137">
        <v>8</v>
      </c>
      <c r="J119" s="53" t="s">
        <v>27</v>
      </c>
      <c r="K119" s="29" t="s">
        <v>211</v>
      </c>
      <c r="L119" s="138"/>
      <c r="M119" s="103"/>
      <c r="N119" s="39"/>
      <c r="O119" s="137"/>
      <c r="P119" s="37"/>
    </row>
    <row r="120" spans="1:16" ht="14.25" customHeight="1">
      <c r="A120" s="139"/>
      <c r="B120" s="89"/>
      <c r="C120" s="28"/>
      <c r="D120" s="29"/>
      <c r="E120" s="37"/>
      <c r="F120" s="37" t="s">
        <v>212</v>
      </c>
      <c r="G120" s="50">
        <f>G119+QUOTIENT((I119+H119),8)</f>
        <v>5</v>
      </c>
      <c r="H120" s="50">
        <f t="shared" ref="H120" si="0">MOD(H119+I119,8)</f>
        <v>0</v>
      </c>
      <c r="I120" s="50">
        <v>8</v>
      </c>
      <c r="J120" s="53" t="s">
        <v>27</v>
      </c>
      <c r="K120" s="29" t="s">
        <v>213</v>
      </c>
      <c r="L120" s="138"/>
      <c r="M120" s="103"/>
      <c r="N120" s="39"/>
      <c r="O120" s="137"/>
      <c r="P120" s="37"/>
    </row>
    <row r="121" spans="1:16" ht="14.25" customHeight="1">
      <c r="A121" s="134"/>
      <c r="B121" s="130"/>
      <c r="C121" s="131"/>
      <c r="D121" s="131"/>
      <c r="E121" s="131"/>
      <c r="F121" s="131"/>
      <c r="G121" s="135"/>
      <c r="H121" s="135"/>
      <c r="I121" s="135"/>
      <c r="J121" s="131"/>
      <c r="K121" s="131"/>
      <c r="L121" s="131"/>
      <c r="M121" s="133"/>
      <c r="N121" s="132"/>
      <c r="O121" s="133"/>
      <c r="P121" s="131"/>
    </row>
    <row r="122" spans="1:16" ht="14.25" customHeight="1">
      <c r="A122" s="136" t="s">
        <v>56</v>
      </c>
      <c r="B122" s="89" t="s">
        <v>18</v>
      </c>
      <c r="C122" s="28" t="s">
        <v>214</v>
      </c>
      <c r="D122" s="29" t="s">
        <v>215</v>
      </c>
      <c r="E122" s="37" t="s">
        <v>21</v>
      </c>
      <c r="F122" s="37"/>
      <c r="G122" s="137"/>
      <c r="H122" s="137"/>
      <c r="I122" s="137"/>
      <c r="J122" s="29"/>
      <c r="K122" s="29"/>
      <c r="L122" s="138"/>
      <c r="M122" s="103" t="s">
        <v>113</v>
      </c>
      <c r="N122" s="34" t="s">
        <v>60</v>
      </c>
      <c r="O122" s="10" t="s">
        <v>68</v>
      </c>
      <c r="P122" s="37"/>
    </row>
    <row r="123" spans="1:16" ht="14.25" customHeight="1">
      <c r="A123" s="139"/>
      <c r="B123" s="89"/>
      <c r="C123" s="28"/>
      <c r="D123" s="29"/>
      <c r="E123" s="37" t="s">
        <v>25</v>
      </c>
      <c r="F123" s="37" t="s">
        <v>61</v>
      </c>
      <c r="G123" s="137">
        <v>4</v>
      </c>
      <c r="H123" s="137">
        <v>0</v>
      </c>
      <c r="I123" s="137">
        <v>8</v>
      </c>
      <c r="J123" s="53" t="s">
        <v>27</v>
      </c>
      <c r="K123" s="29" t="s">
        <v>216</v>
      </c>
      <c r="L123" s="138"/>
      <c r="M123" s="103"/>
      <c r="N123" s="39"/>
      <c r="O123" s="137"/>
      <c r="P123" s="37"/>
    </row>
    <row r="124" spans="1:16" ht="14.25" customHeight="1">
      <c r="A124" s="134"/>
      <c r="B124" s="130"/>
      <c r="C124" s="131"/>
      <c r="D124" s="131"/>
      <c r="E124" s="131"/>
      <c r="F124" s="131"/>
      <c r="G124" s="135"/>
      <c r="H124" s="135"/>
      <c r="I124" s="135"/>
      <c r="J124" s="131"/>
      <c r="K124" s="131"/>
      <c r="L124" s="131"/>
      <c r="M124" s="133"/>
      <c r="N124" s="132"/>
      <c r="O124" s="133"/>
      <c r="P124" s="131"/>
    </row>
    <row r="125" spans="1:16" ht="14.25" customHeight="1">
      <c r="A125" s="136" t="s">
        <v>56</v>
      </c>
      <c r="B125" s="89" t="s">
        <v>18</v>
      </c>
      <c r="C125" s="28" t="s">
        <v>217</v>
      </c>
      <c r="D125" s="29" t="s">
        <v>218</v>
      </c>
      <c r="E125" s="37" t="s">
        <v>21</v>
      </c>
      <c r="F125" s="37" t="s">
        <v>219</v>
      </c>
      <c r="G125" s="137">
        <v>4</v>
      </c>
      <c r="H125" s="137">
        <v>0</v>
      </c>
      <c r="I125" s="137">
        <v>8</v>
      </c>
      <c r="J125" s="53" t="s">
        <v>27</v>
      </c>
      <c r="K125" s="29" t="s">
        <v>220</v>
      </c>
      <c r="L125" s="138"/>
      <c r="M125" s="103" t="s">
        <v>113</v>
      </c>
      <c r="N125" s="34" t="s">
        <v>60</v>
      </c>
      <c r="O125" s="22" t="s">
        <v>23</v>
      </c>
      <c r="P125" s="37"/>
    </row>
    <row r="126" spans="1:16" ht="14.25" customHeight="1">
      <c r="A126" s="139"/>
      <c r="B126" s="89"/>
      <c r="C126" s="28"/>
      <c r="D126" s="29"/>
      <c r="E126" s="37" t="s">
        <v>25</v>
      </c>
      <c r="F126" s="37" t="s">
        <v>61</v>
      </c>
      <c r="G126" s="137">
        <v>4</v>
      </c>
      <c r="H126" s="137">
        <v>0</v>
      </c>
      <c r="I126" s="137">
        <v>8</v>
      </c>
      <c r="J126" s="53" t="s">
        <v>27</v>
      </c>
      <c r="K126" s="29" t="s">
        <v>221</v>
      </c>
      <c r="L126" s="138"/>
      <c r="M126" s="103"/>
      <c r="N126" s="39"/>
      <c r="O126" s="137"/>
      <c r="P126" s="37"/>
    </row>
    <row r="127" spans="1:16" ht="14.25" customHeight="1">
      <c r="A127" s="139"/>
      <c r="B127" s="89"/>
      <c r="C127" s="28"/>
      <c r="D127" s="29"/>
      <c r="E127" s="37"/>
      <c r="F127" s="37" t="s">
        <v>6</v>
      </c>
      <c r="G127" s="50">
        <f>G126+QUOTIENT((I126+H126),8)</f>
        <v>5</v>
      </c>
      <c r="H127" s="50">
        <f t="shared" ref="H127" si="1">MOD(H126+I126,8)</f>
        <v>0</v>
      </c>
      <c r="I127" s="50">
        <v>32</v>
      </c>
      <c r="J127" s="53" t="s">
        <v>27</v>
      </c>
      <c r="K127" s="29" t="s">
        <v>222</v>
      </c>
      <c r="L127" s="138"/>
      <c r="M127" s="103"/>
      <c r="N127" s="39"/>
      <c r="O127" s="137"/>
      <c r="P127" s="37"/>
    </row>
    <row r="128" spans="1:16" ht="14.25" customHeight="1">
      <c r="A128" s="134"/>
      <c r="B128" s="130"/>
      <c r="C128" s="131"/>
      <c r="D128" s="131"/>
      <c r="E128" s="131"/>
      <c r="F128" s="131"/>
      <c r="G128" s="135"/>
      <c r="H128" s="135"/>
      <c r="I128" s="135"/>
      <c r="J128" s="131"/>
      <c r="K128" s="131"/>
      <c r="L128" s="131"/>
      <c r="M128" s="133"/>
      <c r="N128" s="132"/>
      <c r="O128" s="133"/>
      <c r="P128" s="131"/>
    </row>
    <row r="129" spans="1:16" ht="14.25" customHeight="1">
      <c r="A129" s="136" t="s">
        <v>56</v>
      </c>
      <c r="B129" s="89" t="s">
        <v>18</v>
      </c>
      <c r="C129" s="28" t="s">
        <v>223</v>
      </c>
      <c r="D129" s="29" t="s">
        <v>224</v>
      </c>
      <c r="E129" s="37" t="s">
        <v>21</v>
      </c>
      <c r="F129" s="37"/>
      <c r="G129" s="137"/>
      <c r="H129" s="137"/>
      <c r="I129" s="137"/>
      <c r="J129" s="53"/>
      <c r="K129" s="29"/>
      <c r="L129" s="138"/>
      <c r="M129" s="103" t="s">
        <v>22</v>
      </c>
      <c r="N129" s="34" t="s">
        <v>60</v>
      </c>
      <c r="O129" s="10" t="s">
        <v>68</v>
      </c>
      <c r="P129" s="37"/>
    </row>
    <row r="130" spans="1:16" ht="14.25" customHeight="1">
      <c r="A130" s="139"/>
      <c r="B130" s="89"/>
      <c r="C130" s="28"/>
      <c r="D130" s="29"/>
      <c r="E130" s="37" t="s">
        <v>25</v>
      </c>
      <c r="F130" s="37" t="s">
        <v>61</v>
      </c>
      <c r="G130" s="137">
        <v>4</v>
      </c>
      <c r="H130" s="137">
        <v>0</v>
      </c>
      <c r="I130" s="137">
        <v>8</v>
      </c>
      <c r="J130" s="53" t="s">
        <v>27</v>
      </c>
      <c r="K130" s="29" t="s">
        <v>211</v>
      </c>
      <c r="L130" s="138"/>
      <c r="M130" s="103"/>
      <c r="N130" s="39"/>
      <c r="O130" s="137"/>
      <c r="P130" s="37"/>
    </row>
    <row r="131" spans="1:16" ht="14.25" customHeight="1">
      <c r="A131" s="139"/>
      <c r="B131" s="89"/>
      <c r="C131" s="28"/>
      <c r="D131" s="29"/>
      <c r="E131" s="37"/>
      <c r="F131" s="37" t="s">
        <v>225</v>
      </c>
      <c r="G131" s="50">
        <f>G130+QUOTIENT((I130+H130),8)</f>
        <v>5</v>
      </c>
      <c r="H131" s="50">
        <f t="shared" ref="H131:H136" si="2">MOD(H130+I130,8)</f>
        <v>0</v>
      </c>
      <c r="I131" s="50">
        <v>32</v>
      </c>
      <c r="J131" s="53" t="s">
        <v>27</v>
      </c>
      <c r="K131" s="29" t="s">
        <v>226</v>
      </c>
      <c r="L131" s="138"/>
      <c r="M131" s="103"/>
      <c r="N131" s="39"/>
      <c r="O131" s="137"/>
      <c r="P131" s="37"/>
    </row>
    <row r="132" spans="1:16" ht="14.25" customHeight="1">
      <c r="A132" s="139"/>
      <c r="B132" s="89"/>
      <c r="C132" s="28"/>
      <c r="D132" s="29"/>
      <c r="E132" s="37"/>
      <c r="F132" s="37" t="s">
        <v>227</v>
      </c>
      <c r="G132" s="50">
        <f t="shared" ref="G132:G136" si="3">G131+QUOTIENT((I131+H131),8)</f>
        <v>9</v>
      </c>
      <c r="H132" s="50">
        <f t="shared" si="2"/>
        <v>0</v>
      </c>
      <c r="I132" s="50">
        <v>32</v>
      </c>
      <c r="J132" s="53" t="s">
        <v>27</v>
      </c>
      <c r="K132" s="29" t="s">
        <v>228</v>
      </c>
      <c r="L132" s="138"/>
      <c r="M132" s="103"/>
      <c r="N132" s="39"/>
      <c r="O132" s="137"/>
      <c r="P132" s="37"/>
    </row>
    <row r="133" spans="1:16" ht="14.25" customHeight="1">
      <c r="A133" s="139"/>
      <c r="B133" s="89"/>
      <c r="C133" s="28"/>
      <c r="D133" s="29"/>
      <c r="E133" s="37"/>
      <c r="F133" s="37" t="s">
        <v>229</v>
      </c>
      <c r="G133" s="50">
        <f t="shared" si="3"/>
        <v>13</v>
      </c>
      <c r="H133" s="50">
        <f t="shared" si="2"/>
        <v>0</v>
      </c>
      <c r="I133" s="50">
        <v>32</v>
      </c>
      <c r="J133" s="53" t="s">
        <v>27</v>
      </c>
      <c r="K133" s="29" t="s">
        <v>230</v>
      </c>
      <c r="L133" s="138"/>
      <c r="M133" s="103"/>
      <c r="N133" s="39"/>
      <c r="O133" s="137"/>
      <c r="P133" s="37"/>
    </row>
    <row r="134" spans="1:16" ht="14.25" customHeight="1">
      <c r="A134" s="139"/>
      <c r="B134" s="89"/>
      <c r="C134" s="28"/>
      <c r="D134" s="29"/>
      <c r="E134" s="37"/>
      <c r="F134" s="37" t="s">
        <v>231</v>
      </c>
      <c r="G134" s="50">
        <f t="shared" si="3"/>
        <v>17</v>
      </c>
      <c r="H134" s="50">
        <f t="shared" si="2"/>
        <v>0</v>
      </c>
      <c r="I134" s="50">
        <v>8</v>
      </c>
      <c r="J134" s="53" t="s">
        <v>27</v>
      </c>
      <c r="K134" s="29" t="s">
        <v>232</v>
      </c>
      <c r="L134" s="138"/>
      <c r="M134" s="103"/>
      <c r="N134" s="39"/>
      <c r="O134" s="137"/>
      <c r="P134" s="37"/>
    </row>
    <row r="135" spans="1:16" ht="14.25" customHeight="1">
      <c r="A135" s="139"/>
      <c r="B135" s="89"/>
      <c r="C135" s="28"/>
      <c r="D135" s="29"/>
      <c r="E135" s="37"/>
      <c r="F135" s="37" t="s">
        <v>84</v>
      </c>
      <c r="G135" s="50">
        <f t="shared" si="3"/>
        <v>18</v>
      </c>
      <c r="H135" s="50">
        <f t="shared" si="2"/>
        <v>0</v>
      </c>
      <c r="I135" s="50">
        <v>8</v>
      </c>
      <c r="J135" s="53" t="s">
        <v>27</v>
      </c>
      <c r="K135" s="29" t="s">
        <v>233</v>
      </c>
      <c r="L135" s="138"/>
      <c r="M135" s="103"/>
      <c r="N135" s="39"/>
      <c r="O135" s="137"/>
      <c r="P135" s="37"/>
    </row>
    <row r="136" spans="1:16" ht="14.25" customHeight="1">
      <c r="A136" s="139"/>
      <c r="B136" s="89"/>
      <c r="C136" s="28"/>
      <c r="D136" s="29"/>
      <c r="E136" s="37"/>
      <c r="F136" s="37" t="s">
        <v>234</v>
      </c>
      <c r="G136" s="50">
        <f t="shared" si="3"/>
        <v>19</v>
      </c>
      <c r="H136" s="50">
        <f t="shared" si="2"/>
        <v>0</v>
      </c>
      <c r="I136" s="50">
        <v>8</v>
      </c>
      <c r="J136" s="53" t="s">
        <v>27</v>
      </c>
      <c r="K136" s="29" t="s">
        <v>235</v>
      </c>
      <c r="L136" s="138"/>
      <c r="M136" s="103"/>
      <c r="N136" s="39"/>
      <c r="O136" s="137"/>
      <c r="P136" s="37"/>
    </row>
    <row r="137" spans="1:16" ht="14.25" customHeight="1">
      <c r="A137" s="40"/>
      <c r="B137" s="130"/>
      <c r="C137" s="131"/>
      <c r="D137" s="131"/>
      <c r="E137" s="131"/>
      <c r="F137" s="131"/>
      <c r="G137" s="130"/>
      <c r="H137" s="130"/>
      <c r="I137" s="130"/>
      <c r="J137" s="131"/>
      <c r="K137" s="131"/>
      <c r="L137" s="131"/>
      <c r="M137" s="132"/>
      <c r="N137" s="132"/>
      <c r="O137" s="133"/>
      <c r="P137" s="131"/>
    </row>
    <row r="138" spans="1:16" ht="43.2" customHeight="1">
      <c r="A138" s="26" t="s">
        <v>236</v>
      </c>
      <c r="B138" s="140" t="s">
        <v>18</v>
      </c>
      <c r="C138" s="94" t="s">
        <v>237</v>
      </c>
      <c r="D138" s="94" t="s">
        <v>238</v>
      </c>
      <c r="E138" s="95" t="s">
        <v>21</v>
      </c>
      <c r="F138" s="141" t="s">
        <v>239</v>
      </c>
      <c r="G138" s="140">
        <v>4</v>
      </c>
      <c r="H138" s="140">
        <v>0</v>
      </c>
      <c r="I138" s="140">
        <v>64</v>
      </c>
      <c r="J138" s="141" t="s">
        <v>52</v>
      </c>
      <c r="K138" s="141" t="s">
        <v>44</v>
      </c>
      <c r="L138" s="141"/>
      <c r="M138" s="34" t="s">
        <v>240</v>
      </c>
      <c r="N138" s="34" t="s">
        <v>60</v>
      </c>
      <c r="O138" s="10" t="s">
        <v>68</v>
      </c>
      <c r="P138" s="141" t="s">
        <v>241</v>
      </c>
    </row>
    <row r="139" spans="1:16" ht="14.25" customHeight="1">
      <c r="A139" s="49"/>
      <c r="B139" s="140"/>
      <c r="C139" s="94"/>
      <c r="D139" s="94"/>
      <c r="E139" s="95" t="s">
        <v>25</v>
      </c>
      <c r="F139" s="141" t="s">
        <v>106</v>
      </c>
      <c r="G139" s="140">
        <v>4</v>
      </c>
      <c r="H139" s="140">
        <v>0</v>
      </c>
      <c r="I139" s="140">
        <v>8</v>
      </c>
      <c r="J139" s="38" t="s">
        <v>27</v>
      </c>
      <c r="K139" s="32" t="s">
        <v>242</v>
      </c>
      <c r="L139" s="141"/>
      <c r="M139" s="140"/>
      <c r="N139" s="140"/>
      <c r="O139" s="142"/>
      <c r="P139" s="141" t="s">
        <v>243</v>
      </c>
    </row>
    <row r="140" spans="1:16" ht="14.25" customHeight="1">
      <c r="A140" s="65"/>
      <c r="B140" s="143"/>
      <c r="C140" s="144"/>
      <c r="D140" s="144"/>
      <c r="E140" s="144"/>
      <c r="F140" s="144"/>
      <c r="G140" s="143"/>
      <c r="H140" s="143"/>
      <c r="I140" s="143"/>
      <c r="J140" s="144"/>
      <c r="K140" s="144"/>
      <c r="L140" s="144"/>
      <c r="M140" s="132"/>
      <c r="N140" s="132"/>
      <c r="O140" s="133"/>
      <c r="P140" s="144"/>
    </row>
    <row r="141" spans="1:16" ht="14.25" customHeight="1">
      <c r="A141" s="26" t="s">
        <v>236</v>
      </c>
      <c r="B141" s="145" t="s">
        <v>18</v>
      </c>
      <c r="C141" s="146" t="s">
        <v>244</v>
      </c>
      <c r="D141" s="146" t="s">
        <v>245</v>
      </c>
      <c r="E141" s="53" t="s">
        <v>21</v>
      </c>
      <c r="F141" s="147" t="s">
        <v>246</v>
      </c>
      <c r="G141" s="145">
        <v>4</v>
      </c>
      <c r="H141" s="145">
        <v>0</v>
      </c>
      <c r="I141" s="145">
        <f>8*16</f>
        <v>128</v>
      </c>
      <c r="J141" s="141" t="s">
        <v>52</v>
      </c>
      <c r="K141" s="141" t="s">
        <v>44</v>
      </c>
      <c r="L141" s="148"/>
      <c r="M141" s="34" t="s">
        <v>240</v>
      </c>
      <c r="N141" s="34" t="s">
        <v>60</v>
      </c>
      <c r="O141" s="10" t="s">
        <v>68</v>
      </c>
      <c r="P141" s="147" t="s">
        <v>247</v>
      </c>
    </row>
    <row r="142" spans="1:16" ht="14.25" customHeight="1">
      <c r="A142" s="49"/>
      <c r="B142" s="145"/>
      <c r="C142" s="146"/>
      <c r="D142" s="146"/>
      <c r="E142" s="53"/>
      <c r="F142" s="147" t="s">
        <v>248</v>
      </c>
      <c r="G142" s="145">
        <v>20</v>
      </c>
      <c r="H142" s="145">
        <v>0</v>
      </c>
      <c r="I142" s="145">
        <f>8*256</f>
        <v>2048</v>
      </c>
      <c r="J142" s="141" t="s">
        <v>52</v>
      </c>
      <c r="K142" s="141" t="s">
        <v>44</v>
      </c>
      <c r="L142" s="147"/>
      <c r="M142" s="26"/>
      <c r="N142" s="26"/>
      <c r="O142" s="136"/>
      <c r="P142" s="147"/>
    </row>
    <row r="143" spans="1:16" ht="14.25" customHeight="1">
      <c r="A143" s="49"/>
      <c r="B143" s="145"/>
      <c r="C143" s="146"/>
      <c r="D143" s="146"/>
      <c r="E143" s="95" t="s">
        <v>25</v>
      </c>
      <c r="F143" s="147" t="s">
        <v>106</v>
      </c>
      <c r="G143" s="145">
        <v>4</v>
      </c>
      <c r="H143" s="145">
        <v>0</v>
      </c>
      <c r="I143" s="145">
        <v>8</v>
      </c>
      <c r="J143" s="147" t="s">
        <v>27</v>
      </c>
      <c r="K143" s="147" t="s">
        <v>242</v>
      </c>
      <c r="L143" s="147"/>
      <c r="M143" s="26"/>
      <c r="N143" s="26"/>
      <c r="O143" s="136"/>
      <c r="P143" s="37" t="s">
        <v>243</v>
      </c>
    </row>
    <row r="144" spans="1:16" ht="14.25" customHeight="1">
      <c r="A144" s="65"/>
      <c r="B144" s="143"/>
      <c r="C144" s="144"/>
      <c r="D144" s="144"/>
      <c r="E144" s="144"/>
      <c r="F144" s="144"/>
      <c r="G144" s="143"/>
      <c r="H144" s="143"/>
      <c r="I144" s="143"/>
      <c r="J144" s="144"/>
      <c r="K144" s="144"/>
      <c r="L144" s="144"/>
      <c r="M144" s="132"/>
      <c r="N144" s="132"/>
      <c r="O144" s="133"/>
      <c r="P144" s="144"/>
    </row>
    <row r="145" spans="1:16" ht="14.25" customHeight="1">
      <c r="A145" s="26" t="s">
        <v>236</v>
      </c>
      <c r="B145" s="39" t="s">
        <v>18</v>
      </c>
      <c r="C145" s="29" t="s">
        <v>249</v>
      </c>
      <c r="D145" s="29" t="s">
        <v>250</v>
      </c>
      <c r="E145" s="29" t="s">
        <v>21</v>
      </c>
      <c r="F145" s="37" t="s">
        <v>251</v>
      </c>
      <c r="G145" s="39">
        <v>4</v>
      </c>
      <c r="H145" s="39">
        <v>0</v>
      </c>
      <c r="I145" s="39">
        <f>2*8</f>
        <v>16</v>
      </c>
      <c r="J145" s="37" t="s">
        <v>27</v>
      </c>
      <c r="K145" s="141" t="s">
        <v>44</v>
      </c>
      <c r="L145" s="37"/>
      <c r="M145" s="34" t="s">
        <v>240</v>
      </c>
      <c r="N145" s="34" t="s">
        <v>60</v>
      </c>
      <c r="O145" s="10" t="s">
        <v>68</v>
      </c>
      <c r="P145" s="37"/>
    </row>
    <row r="146" spans="1:16" ht="14.25" customHeight="1">
      <c r="A146" s="149"/>
      <c r="B146" s="39"/>
      <c r="C146" s="29"/>
      <c r="D146" s="29"/>
      <c r="E146" s="29"/>
      <c r="F146" s="37" t="s">
        <v>252</v>
      </c>
      <c r="G146" s="39">
        <v>6</v>
      </c>
      <c r="H146" s="39">
        <v>0</v>
      </c>
      <c r="I146" s="88">
        <v>16384</v>
      </c>
      <c r="J146" s="141" t="s">
        <v>52</v>
      </c>
      <c r="K146" s="141" t="s">
        <v>44</v>
      </c>
      <c r="L146" s="37"/>
      <c r="M146" s="39"/>
      <c r="N146" s="39"/>
      <c r="O146" s="103"/>
      <c r="P146" s="37"/>
    </row>
    <row r="147" spans="1:16" ht="14.25" customHeight="1">
      <c r="A147" s="92"/>
      <c r="B147" s="39"/>
      <c r="C147" s="29"/>
      <c r="D147" s="29"/>
      <c r="E147" s="29" t="s">
        <v>25</v>
      </c>
      <c r="F147" s="37" t="s">
        <v>106</v>
      </c>
      <c r="G147" s="39">
        <v>4</v>
      </c>
      <c r="H147" s="39">
        <v>0</v>
      </c>
      <c r="I147" s="39">
        <v>8</v>
      </c>
      <c r="J147" s="38" t="s">
        <v>27</v>
      </c>
      <c r="K147" s="32" t="s">
        <v>253</v>
      </c>
      <c r="L147" s="37"/>
      <c r="M147" s="39"/>
      <c r="N147" s="39"/>
      <c r="O147" s="103"/>
      <c r="P147" s="37" t="s">
        <v>108</v>
      </c>
    </row>
    <row r="148" spans="1:16" ht="14.25" customHeight="1">
      <c r="A148" s="92"/>
      <c r="B148" s="39"/>
      <c r="C148" s="29"/>
      <c r="D148" s="29"/>
      <c r="E148" s="29"/>
      <c r="F148" s="37" t="s">
        <v>254</v>
      </c>
      <c r="G148" s="39">
        <v>5</v>
      </c>
      <c r="H148" s="39">
        <v>0</v>
      </c>
      <c r="I148" s="39">
        <f>20*8</f>
        <v>160</v>
      </c>
      <c r="J148" s="141" t="s">
        <v>52</v>
      </c>
      <c r="K148" s="141" t="s">
        <v>44</v>
      </c>
      <c r="L148" s="37"/>
      <c r="M148" s="39"/>
      <c r="N148" s="39"/>
      <c r="O148" s="103"/>
      <c r="P148" s="37"/>
    </row>
    <row r="149" spans="1:16" ht="14.25" customHeight="1">
      <c r="A149" s="65"/>
      <c r="B149" s="143"/>
      <c r="C149" s="144"/>
      <c r="D149" s="144"/>
      <c r="E149" s="144"/>
      <c r="F149" s="144"/>
      <c r="G149" s="143"/>
      <c r="H149" s="143"/>
      <c r="I149" s="143"/>
      <c r="J149" s="144"/>
      <c r="K149" s="144"/>
      <c r="L149" s="144"/>
      <c r="M149" s="132"/>
      <c r="N149" s="132"/>
      <c r="O149" s="133"/>
      <c r="P149" s="144"/>
    </row>
    <row r="150" spans="1:16" ht="14.25" customHeight="1">
      <c r="A150" s="26" t="s">
        <v>236</v>
      </c>
      <c r="B150" s="145" t="s">
        <v>18</v>
      </c>
      <c r="C150" s="146" t="s">
        <v>255</v>
      </c>
      <c r="D150" s="146" t="s">
        <v>256</v>
      </c>
      <c r="E150" s="95" t="s">
        <v>21</v>
      </c>
      <c r="F150" s="147" t="s">
        <v>257</v>
      </c>
      <c r="G150" s="145">
        <v>4</v>
      </c>
      <c r="H150" s="145">
        <v>0</v>
      </c>
      <c r="I150" s="145">
        <v>32</v>
      </c>
      <c r="J150" s="141" t="s">
        <v>52</v>
      </c>
      <c r="K150" s="141" t="s">
        <v>44</v>
      </c>
      <c r="L150" s="147"/>
      <c r="M150" s="34" t="s">
        <v>240</v>
      </c>
      <c r="N150" s="34" t="s">
        <v>60</v>
      </c>
      <c r="O150" s="10" t="s">
        <v>68</v>
      </c>
      <c r="P150" s="147"/>
    </row>
    <row r="151" spans="1:16" ht="14.25" customHeight="1">
      <c r="A151" s="49"/>
      <c r="B151" s="145"/>
      <c r="C151" s="146"/>
      <c r="D151" s="146"/>
      <c r="E151" s="150" t="s">
        <v>25</v>
      </c>
      <c r="F151" s="151" t="s">
        <v>106</v>
      </c>
      <c r="G151" s="152">
        <v>4</v>
      </c>
      <c r="H151" s="152">
        <v>0</v>
      </c>
      <c r="I151" s="152">
        <v>8</v>
      </c>
      <c r="J151" s="151" t="s">
        <v>27</v>
      </c>
      <c r="K151" s="98" t="s">
        <v>258</v>
      </c>
      <c r="L151" s="150"/>
      <c r="M151" s="153"/>
      <c r="N151" s="100"/>
      <c r="O151" s="154"/>
      <c r="P151" s="150" t="s">
        <v>108</v>
      </c>
    </row>
    <row r="152" spans="1:16" ht="14.25" customHeight="1">
      <c r="A152" s="49"/>
      <c r="B152" s="145"/>
      <c r="C152" s="146"/>
      <c r="D152" s="146"/>
      <c r="E152" s="155"/>
      <c r="F152" s="156"/>
      <c r="G152" s="157"/>
      <c r="H152" s="157"/>
      <c r="I152" s="157"/>
      <c r="J152" s="156"/>
      <c r="K152" s="122" t="s">
        <v>259</v>
      </c>
      <c r="L152" s="155"/>
      <c r="M152" s="158"/>
      <c r="N152" s="159"/>
      <c r="O152" s="160"/>
      <c r="P152" s="155"/>
    </row>
    <row r="153" spans="1:16" ht="14.25" customHeight="1">
      <c r="A153" s="161"/>
      <c r="B153" s="162"/>
      <c r="C153" s="163"/>
      <c r="D153" s="163"/>
      <c r="E153" s="163"/>
      <c r="F153" s="163"/>
      <c r="G153" s="162"/>
      <c r="H153" s="162"/>
      <c r="I153" s="162"/>
      <c r="J153" s="163"/>
      <c r="K153" s="163"/>
      <c r="L153" s="163"/>
      <c r="M153" s="163"/>
      <c r="N153" s="162"/>
      <c r="O153" s="162"/>
      <c r="P153" s="163"/>
    </row>
    <row r="154" spans="1:16" ht="14.25" customHeight="1">
      <c r="A154" s="26" t="s">
        <v>236</v>
      </c>
      <c r="B154" s="88" t="s">
        <v>18</v>
      </c>
      <c r="C154" s="48" t="s">
        <v>260</v>
      </c>
      <c r="D154" s="48" t="s">
        <v>261</v>
      </c>
      <c r="E154" s="48" t="s">
        <v>21</v>
      </c>
      <c r="F154" s="48" t="s">
        <v>262</v>
      </c>
      <c r="G154" s="88">
        <v>4</v>
      </c>
      <c r="H154" s="88">
        <v>0</v>
      </c>
      <c r="I154" s="88">
        <v>8</v>
      </c>
      <c r="J154" s="54" t="s">
        <v>27</v>
      </c>
      <c r="K154" s="164" t="s">
        <v>263</v>
      </c>
      <c r="L154" s="48"/>
      <c r="M154" s="88" t="s">
        <v>240</v>
      </c>
      <c r="N154" s="34" t="s">
        <v>60</v>
      </c>
      <c r="O154" s="10" t="s">
        <v>68</v>
      </c>
      <c r="P154" s="48" t="s">
        <v>264</v>
      </c>
    </row>
    <row r="155" spans="1:16" ht="14.25" customHeight="1">
      <c r="A155" s="77"/>
      <c r="B155" s="165"/>
      <c r="C155" s="166"/>
      <c r="D155" s="166"/>
      <c r="E155" s="167" t="s">
        <v>25</v>
      </c>
      <c r="F155" s="54" t="s">
        <v>262</v>
      </c>
      <c r="G155" s="26">
        <v>4</v>
      </c>
      <c r="H155" s="26">
        <v>0</v>
      </c>
      <c r="I155" s="26">
        <v>8</v>
      </c>
      <c r="J155" s="54" t="s">
        <v>27</v>
      </c>
      <c r="K155" s="164" t="s">
        <v>263</v>
      </c>
      <c r="L155" s="54"/>
      <c r="M155" s="167"/>
      <c r="N155" s="26"/>
      <c r="O155" s="168"/>
      <c r="P155" s="164" t="s">
        <v>263</v>
      </c>
    </row>
    <row r="156" spans="1:16" ht="14.25" customHeight="1">
      <c r="A156" s="77"/>
      <c r="B156" s="165"/>
      <c r="C156" s="166"/>
      <c r="D156" s="166"/>
      <c r="E156" s="167"/>
      <c r="F156" s="54" t="s">
        <v>106</v>
      </c>
      <c r="G156" s="26">
        <v>5</v>
      </c>
      <c r="H156" s="26">
        <v>0</v>
      </c>
      <c r="I156" s="26">
        <v>8</v>
      </c>
      <c r="J156" s="54" t="s">
        <v>27</v>
      </c>
      <c r="K156" s="54" t="s">
        <v>265</v>
      </c>
      <c r="L156" s="54"/>
      <c r="M156" s="167"/>
      <c r="N156" s="26"/>
      <c r="O156" s="168"/>
      <c r="P156" s="54" t="s">
        <v>108</v>
      </c>
    </row>
    <row r="157" spans="1:16" ht="14.25" customHeight="1">
      <c r="A157" s="65"/>
      <c r="B157" s="143"/>
      <c r="C157" s="144"/>
      <c r="D157" s="144"/>
      <c r="E157" s="144"/>
      <c r="F157" s="144"/>
      <c r="G157" s="143"/>
      <c r="H157" s="143"/>
      <c r="I157" s="143"/>
      <c r="J157" s="144"/>
      <c r="K157" s="144"/>
      <c r="L157" s="144"/>
      <c r="M157" s="132"/>
      <c r="N157" s="132"/>
      <c r="O157" s="133"/>
      <c r="P157" s="144"/>
    </row>
    <row r="158" spans="1:16" ht="14.25" customHeight="1">
      <c r="A158" s="26" t="s">
        <v>236</v>
      </c>
      <c r="B158" s="145" t="s">
        <v>18</v>
      </c>
      <c r="C158" s="146" t="s">
        <v>266</v>
      </c>
      <c r="D158" s="146" t="s">
        <v>267</v>
      </c>
      <c r="E158" s="95" t="s">
        <v>21</v>
      </c>
      <c r="F158" s="147" t="s">
        <v>268</v>
      </c>
      <c r="G158" s="145">
        <v>4</v>
      </c>
      <c r="H158" s="145">
        <v>0</v>
      </c>
      <c r="I158" s="145">
        <v>8</v>
      </c>
      <c r="J158" s="147" t="s">
        <v>27</v>
      </c>
      <c r="K158" s="147"/>
      <c r="L158" s="147"/>
      <c r="M158" s="34" t="s">
        <v>240</v>
      </c>
      <c r="N158" s="34" t="s">
        <v>60</v>
      </c>
      <c r="O158" s="10" t="s">
        <v>68</v>
      </c>
      <c r="P158" s="147"/>
    </row>
    <row r="159" spans="1:16" ht="14.25" customHeight="1">
      <c r="A159" s="169"/>
      <c r="B159" s="170"/>
      <c r="C159" s="171"/>
      <c r="D159" s="171"/>
      <c r="E159" s="172" t="s">
        <v>25</v>
      </c>
      <c r="F159" s="173" t="s">
        <v>269</v>
      </c>
      <c r="G159" s="174">
        <v>4</v>
      </c>
      <c r="H159" s="174">
        <v>0</v>
      </c>
      <c r="I159" s="153">
        <v>0</v>
      </c>
      <c r="J159" s="172" t="s">
        <v>52</v>
      </c>
      <c r="K159" s="175" t="s">
        <v>270</v>
      </c>
      <c r="L159" s="176"/>
      <c r="M159" s="153"/>
      <c r="N159" s="100"/>
      <c r="O159" s="177"/>
      <c r="P159" s="178" t="s">
        <v>271</v>
      </c>
    </row>
    <row r="160" spans="1:16" ht="14.25" customHeight="1">
      <c r="A160" s="169"/>
      <c r="B160" s="170"/>
      <c r="C160" s="171"/>
      <c r="D160" s="171"/>
      <c r="E160" s="179"/>
      <c r="F160" s="180"/>
      <c r="G160" s="181"/>
      <c r="H160" s="181"/>
      <c r="I160" s="182"/>
      <c r="J160" s="179"/>
      <c r="K160" s="183"/>
      <c r="L160" s="184"/>
      <c r="M160" s="182"/>
      <c r="N160" s="185"/>
      <c r="O160" s="186"/>
      <c r="P160" s="187" t="s">
        <v>272</v>
      </c>
    </row>
    <row r="161" spans="1:16" ht="14.25" customHeight="1">
      <c r="A161" s="188"/>
      <c r="B161" s="189"/>
      <c r="C161" s="190"/>
      <c r="D161" s="190"/>
      <c r="E161" s="144"/>
      <c r="F161" s="144"/>
      <c r="G161" s="143"/>
      <c r="H161" s="143"/>
      <c r="I161" s="143"/>
      <c r="J161" s="144"/>
      <c r="K161" s="144"/>
      <c r="L161" s="144"/>
      <c r="M161" s="132"/>
      <c r="N161" s="132"/>
      <c r="O161" s="133"/>
      <c r="P161" s="144"/>
    </row>
    <row r="162" spans="1:16" ht="14.25" customHeight="1">
      <c r="A162" s="191"/>
      <c r="B162" s="192" t="s">
        <v>18</v>
      </c>
      <c r="C162" s="193" t="s">
        <v>273</v>
      </c>
      <c r="D162" s="193" t="s">
        <v>274</v>
      </c>
      <c r="E162" s="194" t="s">
        <v>21</v>
      </c>
      <c r="F162" s="194"/>
      <c r="G162" s="195"/>
      <c r="H162" s="195"/>
      <c r="I162" s="195"/>
      <c r="J162" s="194"/>
      <c r="K162" s="194"/>
      <c r="L162" s="194"/>
      <c r="M162" s="26" t="s">
        <v>240</v>
      </c>
      <c r="N162" s="34" t="s">
        <v>60</v>
      </c>
      <c r="O162" s="10" t="s">
        <v>68</v>
      </c>
      <c r="P162" s="194"/>
    </row>
    <row r="163" spans="1:16" ht="14.25" customHeight="1">
      <c r="A163" s="169"/>
      <c r="B163" s="170"/>
      <c r="C163" s="171"/>
      <c r="D163" s="171"/>
      <c r="E163" s="150" t="s">
        <v>25</v>
      </c>
      <c r="F163" s="151" t="s">
        <v>106</v>
      </c>
      <c r="G163" s="152">
        <v>4</v>
      </c>
      <c r="H163" s="152">
        <v>0</v>
      </c>
      <c r="I163" s="152">
        <v>8</v>
      </c>
      <c r="J163" s="151" t="s">
        <v>27</v>
      </c>
      <c r="K163" s="98" t="s">
        <v>258</v>
      </c>
      <c r="L163" s="150"/>
      <c r="M163" s="153"/>
      <c r="N163" s="100"/>
      <c r="O163" s="154"/>
      <c r="P163" s="150" t="s">
        <v>275</v>
      </c>
    </row>
    <row r="164" spans="1:16" ht="14.25" customHeight="1">
      <c r="A164" s="196"/>
      <c r="B164" s="197"/>
      <c r="C164" s="198"/>
      <c r="D164" s="198"/>
      <c r="E164" s="155"/>
      <c r="F164" s="156"/>
      <c r="G164" s="157"/>
      <c r="H164" s="157"/>
      <c r="I164" s="157"/>
      <c r="J164" s="156"/>
      <c r="K164" s="122" t="s">
        <v>276</v>
      </c>
      <c r="L164" s="155"/>
      <c r="M164" s="158"/>
      <c r="N164" s="159"/>
      <c r="O164" s="160"/>
      <c r="P164" s="155"/>
    </row>
    <row r="165" spans="1:16" ht="14.25" customHeight="1">
      <c r="A165" s="188"/>
      <c r="B165" s="189"/>
      <c r="C165" s="190"/>
      <c r="D165" s="190"/>
      <c r="E165" s="199"/>
      <c r="F165" s="190"/>
      <c r="G165" s="189"/>
      <c r="H165" s="189"/>
      <c r="I165" s="200"/>
      <c r="J165" s="199"/>
      <c r="K165" s="199"/>
      <c r="L165" s="201"/>
      <c r="M165" s="125"/>
      <c r="N165" s="125"/>
      <c r="O165" s="200"/>
      <c r="P165" s="190"/>
    </row>
    <row r="166" spans="1:16" ht="14.25" customHeight="1">
      <c r="A166" s="26" t="s">
        <v>236</v>
      </c>
      <c r="B166" s="192" t="s">
        <v>18</v>
      </c>
      <c r="C166" s="193" t="s">
        <v>277</v>
      </c>
      <c r="D166" s="193" t="s">
        <v>278</v>
      </c>
      <c r="E166" s="194" t="s">
        <v>21</v>
      </c>
      <c r="F166" s="194"/>
      <c r="G166" s="195"/>
      <c r="H166" s="195"/>
      <c r="I166" s="195"/>
      <c r="J166" s="194"/>
      <c r="K166" s="194"/>
      <c r="L166" s="194"/>
      <c r="M166" s="26" t="s">
        <v>240</v>
      </c>
      <c r="N166" s="34" t="s">
        <v>60</v>
      </c>
      <c r="O166" s="10" t="s">
        <v>68</v>
      </c>
      <c r="P166" s="194"/>
    </row>
    <row r="167" spans="1:16" ht="14.25" customHeight="1">
      <c r="A167" s="169"/>
      <c r="B167" s="170"/>
      <c r="C167" s="171"/>
      <c r="D167" s="171"/>
      <c r="E167" s="172" t="s">
        <v>25</v>
      </c>
      <c r="F167" s="173" t="s">
        <v>279</v>
      </c>
      <c r="G167" s="174">
        <v>4</v>
      </c>
      <c r="H167" s="174">
        <v>0</v>
      </c>
      <c r="I167" s="153">
        <v>0</v>
      </c>
      <c r="J167" s="172" t="s">
        <v>52</v>
      </c>
      <c r="K167" s="175" t="s">
        <v>270</v>
      </c>
      <c r="L167" s="176"/>
      <c r="M167" s="153"/>
      <c r="N167" s="100"/>
      <c r="O167" s="177"/>
      <c r="P167" s="178" t="s">
        <v>280</v>
      </c>
    </row>
    <row r="168" spans="1:16" ht="14.25" customHeight="1">
      <c r="A168" s="169"/>
      <c r="B168" s="170"/>
      <c r="C168" s="171"/>
      <c r="D168" s="171"/>
      <c r="E168" s="179"/>
      <c r="F168" s="180"/>
      <c r="G168" s="181"/>
      <c r="H168" s="181"/>
      <c r="I168" s="182"/>
      <c r="J168" s="179"/>
      <c r="K168" s="183"/>
      <c r="L168" s="184"/>
      <c r="M168" s="182"/>
      <c r="N168" s="185"/>
      <c r="O168" s="186"/>
      <c r="P168" s="187" t="s">
        <v>281</v>
      </c>
    </row>
    <row r="169" spans="1:16" ht="14.25" customHeight="1">
      <c r="A169" s="169"/>
      <c r="B169" s="170"/>
      <c r="C169" s="171"/>
      <c r="D169" s="171"/>
      <c r="E169" s="179"/>
      <c r="F169" s="180"/>
      <c r="G169" s="181"/>
      <c r="H169" s="181"/>
      <c r="I169" s="182"/>
      <c r="J169" s="179"/>
      <c r="K169" s="183"/>
      <c r="L169" s="184"/>
      <c r="M169" s="182"/>
      <c r="N169" s="185"/>
      <c r="O169" s="186"/>
      <c r="P169" s="187" t="s">
        <v>282</v>
      </c>
    </row>
    <row r="170" spans="1:16" ht="14.25" customHeight="1">
      <c r="A170" s="169"/>
      <c r="B170" s="170"/>
      <c r="C170" s="171"/>
      <c r="D170" s="171"/>
      <c r="E170" s="202"/>
      <c r="F170" s="203"/>
      <c r="G170" s="204"/>
      <c r="H170" s="204"/>
      <c r="I170" s="158"/>
      <c r="J170" s="202"/>
      <c r="K170" s="205"/>
      <c r="L170" s="206"/>
      <c r="M170" s="158"/>
      <c r="N170" s="159"/>
      <c r="O170" s="207"/>
      <c r="P170" s="208" t="s">
        <v>283</v>
      </c>
    </row>
    <row r="171" spans="1:16" ht="14.25" customHeight="1">
      <c r="A171" s="188"/>
      <c r="B171" s="189"/>
      <c r="C171" s="190"/>
      <c r="D171" s="190"/>
      <c r="E171" s="199"/>
      <c r="F171" s="190"/>
      <c r="G171" s="189"/>
      <c r="H171" s="189"/>
      <c r="I171" s="200"/>
      <c r="J171" s="199"/>
      <c r="K171" s="199"/>
      <c r="L171" s="201"/>
      <c r="M171" s="125"/>
      <c r="N171" s="125"/>
      <c r="O171" s="200"/>
      <c r="P171" s="190"/>
    </row>
    <row r="172" spans="1:16" ht="14.25" customHeight="1">
      <c r="A172" s="26" t="s">
        <v>56</v>
      </c>
      <c r="B172" s="192" t="s">
        <v>18</v>
      </c>
      <c r="C172" s="193" t="s">
        <v>284</v>
      </c>
      <c r="D172" s="193" t="s">
        <v>285</v>
      </c>
      <c r="E172" s="194" t="s">
        <v>21</v>
      </c>
      <c r="F172" s="194"/>
      <c r="G172" s="195"/>
      <c r="H172" s="195"/>
      <c r="I172" s="195"/>
      <c r="J172" s="194"/>
      <c r="K172" s="194"/>
      <c r="L172" s="194"/>
      <c r="M172" s="26" t="s">
        <v>59</v>
      </c>
      <c r="N172" s="34" t="s">
        <v>60</v>
      </c>
      <c r="O172" s="22" t="s">
        <v>23</v>
      </c>
      <c r="P172" s="194" t="s">
        <v>286</v>
      </c>
    </row>
    <row r="173" spans="1:16" ht="14.25" customHeight="1">
      <c r="A173" s="169"/>
      <c r="B173" s="170"/>
      <c r="C173" s="171"/>
      <c r="D173" s="171"/>
      <c r="E173" s="150" t="s">
        <v>25</v>
      </c>
      <c r="F173" s="151" t="s">
        <v>106</v>
      </c>
      <c r="G173" s="152">
        <v>4</v>
      </c>
      <c r="H173" s="152">
        <v>0</v>
      </c>
      <c r="I173" s="152">
        <v>8</v>
      </c>
      <c r="J173" s="151" t="s">
        <v>27</v>
      </c>
      <c r="K173" s="98" t="s">
        <v>258</v>
      </c>
      <c r="L173" s="150"/>
      <c r="M173" s="153"/>
      <c r="N173" s="100"/>
      <c r="O173" s="154"/>
      <c r="P173" s="150" t="s">
        <v>108</v>
      </c>
    </row>
    <row r="174" spans="1:16" ht="14.25" customHeight="1">
      <c r="A174" s="169"/>
      <c r="B174" s="170"/>
      <c r="C174" s="171"/>
      <c r="D174" s="171"/>
      <c r="E174" s="155"/>
      <c r="F174" s="156"/>
      <c r="G174" s="157"/>
      <c r="H174" s="157"/>
      <c r="I174" s="157"/>
      <c r="J174" s="156"/>
      <c r="K174" s="122" t="s">
        <v>259</v>
      </c>
      <c r="L174" s="155"/>
      <c r="M174" s="158"/>
      <c r="N174" s="159"/>
      <c r="O174" s="160"/>
      <c r="P174" s="155"/>
    </row>
    <row r="175" spans="1:16" ht="14.25" customHeight="1">
      <c r="A175" s="188"/>
      <c r="B175" s="189"/>
      <c r="C175" s="190"/>
      <c r="D175" s="190"/>
      <c r="E175" s="199"/>
      <c r="F175" s="190"/>
      <c r="G175" s="189"/>
      <c r="H175" s="189"/>
      <c r="I175" s="200"/>
      <c r="J175" s="199"/>
      <c r="K175" s="199"/>
      <c r="L175" s="201"/>
      <c r="M175" s="125"/>
      <c r="N175" s="125"/>
      <c r="O175" s="200"/>
      <c r="P175" s="190"/>
    </row>
    <row r="176" spans="1:16" ht="14.25" customHeight="1">
      <c r="A176" s="26" t="s">
        <v>56</v>
      </c>
      <c r="B176" s="192" t="s">
        <v>18</v>
      </c>
      <c r="C176" s="193" t="s">
        <v>287</v>
      </c>
      <c r="D176" s="193" t="s">
        <v>288</v>
      </c>
      <c r="E176" s="194" t="s">
        <v>21</v>
      </c>
      <c r="F176" s="194" t="s">
        <v>104</v>
      </c>
      <c r="G176" s="195">
        <v>4</v>
      </c>
      <c r="H176" s="195">
        <v>0</v>
      </c>
      <c r="I176" s="195">
        <v>8</v>
      </c>
      <c r="J176" s="194" t="s">
        <v>27</v>
      </c>
      <c r="K176" s="209" t="s">
        <v>289</v>
      </c>
      <c r="L176" s="194"/>
      <c r="M176" s="26" t="s">
        <v>59</v>
      </c>
      <c r="N176" s="34" t="s">
        <v>60</v>
      </c>
      <c r="O176" s="22" t="s">
        <v>23</v>
      </c>
      <c r="P176" s="194" t="s">
        <v>290</v>
      </c>
    </row>
    <row r="177" spans="1:16" ht="14.25" customHeight="1">
      <c r="A177" s="169"/>
      <c r="B177" s="170"/>
      <c r="C177" s="171"/>
      <c r="D177" s="171"/>
      <c r="E177" s="150" t="s">
        <v>25</v>
      </c>
      <c r="F177" s="151" t="s">
        <v>106</v>
      </c>
      <c r="G177" s="152">
        <v>4</v>
      </c>
      <c r="H177" s="152">
        <v>0</v>
      </c>
      <c r="I177" s="152">
        <v>8</v>
      </c>
      <c r="J177" s="151" t="s">
        <v>27</v>
      </c>
      <c r="K177" s="98" t="s">
        <v>258</v>
      </c>
      <c r="L177" s="150"/>
      <c r="M177" s="153"/>
      <c r="N177" s="100"/>
      <c r="O177" s="154"/>
      <c r="P177" s="150" t="s">
        <v>108</v>
      </c>
    </row>
    <row r="178" spans="1:16" ht="14.25" customHeight="1">
      <c r="A178" s="169"/>
      <c r="B178" s="170"/>
      <c r="C178" s="171"/>
      <c r="D178" s="171"/>
      <c r="E178" s="155"/>
      <c r="F178" s="156"/>
      <c r="G178" s="157"/>
      <c r="H178" s="157"/>
      <c r="I178" s="157"/>
      <c r="J178" s="156"/>
      <c r="K178" s="122" t="s">
        <v>259</v>
      </c>
      <c r="L178" s="155"/>
      <c r="M178" s="158"/>
      <c r="N178" s="159"/>
      <c r="O178" s="160"/>
      <c r="P178" s="155"/>
    </row>
    <row r="179" spans="1:16" ht="14.25" customHeight="1">
      <c r="A179" s="65"/>
      <c r="B179" s="130"/>
      <c r="C179" s="131"/>
      <c r="D179" s="131"/>
      <c r="E179" s="131"/>
      <c r="F179" s="131"/>
      <c r="G179" s="130"/>
      <c r="H179" s="130"/>
      <c r="I179" s="130"/>
      <c r="J179" s="131"/>
      <c r="K179" s="131"/>
      <c r="L179" s="131"/>
      <c r="M179" s="132"/>
      <c r="N179" s="132"/>
      <c r="O179" s="133"/>
      <c r="P179" s="131"/>
    </row>
    <row r="180" spans="1:16" ht="14.25" customHeight="1">
      <c r="A180" s="26" t="s">
        <v>291</v>
      </c>
      <c r="B180" s="210" t="s">
        <v>18</v>
      </c>
      <c r="C180" s="94" t="s">
        <v>292</v>
      </c>
      <c r="D180" s="53" t="s">
        <v>293</v>
      </c>
      <c r="E180" s="38" t="s">
        <v>21</v>
      </c>
      <c r="F180" s="26"/>
      <c r="G180" s="26"/>
      <c r="H180" s="211"/>
      <c r="I180" s="50"/>
      <c r="J180" s="50"/>
      <c r="K180" s="38"/>
      <c r="L180" s="38"/>
      <c r="M180" s="26" t="s">
        <v>294</v>
      </c>
      <c r="N180" s="34" t="s">
        <v>60</v>
      </c>
      <c r="O180" s="10" t="s">
        <v>68</v>
      </c>
      <c r="P180" s="212"/>
    </row>
    <row r="181" spans="1:16" ht="14.25" customHeight="1">
      <c r="A181" s="49"/>
      <c r="B181" s="210"/>
      <c r="C181" s="94"/>
      <c r="D181" s="53"/>
      <c r="E181" s="38" t="s">
        <v>25</v>
      </c>
      <c r="F181" s="54" t="s">
        <v>295</v>
      </c>
      <c r="G181" s="50">
        <v>4</v>
      </c>
      <c r="H181" s="50">
        <v>0</v>
      </c>
      <c r="I181" s="26">
        <v>0</v>
      </c>
      <c r="J181" s="38" t="s">
        <v>52</v>
      </c>
      <c r="K181" s="56" t="s">
        <v>296</v>
      </c>
      <c r="L181" s="49"/>
      <c r="M181" s="26"/>
      <c r="N181" s="26"/>
      <c r="O181" s="57"/>
      <c r="P181" s="213" t="s">
        <v>297</v>
      </c>
    </row>
    <row r="182" spans="1:16" ht="14.25" customHeight="1">
      <c r="A182" s="65"/>
      <c r="B182" s="130"/>
      <c r="C182" s="131"/>
      <c r="D182" s="131"/>
      <c r="E182" s="131"/>
      <c r="F182" s="131"/>
      <c r="G182" s="130"/>
      <c r="H182" s="130"/>
      <c r="I182" s="130"/>
      <c r="J182" s="131"/>
      <c r="K182" s="131"/>
      <c r="L182" s="131"/>
      <c r="M182" s="132"/>
      <c r="N182" s="132"/>
      <c r="O182" s="133"/>
      <c r="P182" s="131"/>
    </row>
    <row r="183" spans="1:16" ht="14.25" customHeight="1">
      <c r="A183" s="26" t="s">
        <v>291</v>
      </c>
      <c r="B183" s="210" t="s">
        <v>18</v>
      </c>
      <c r="C183" s="214" t="s">
        <v>298</v>
      </c>
      <c r="D183" s="54" t="s">
        <v>299</v>
      </c>
      <c r="E183" s="54" t="s">
        <v>21</v>
      </c>
      <c r="F183" s="54"/>
      <c r="G183" s="54"/>
      <c r="H183" s="215"/>
      <c r="I183" s="56"/>
      <c r="J183" s="54"/>
      <c r="K183" s="54"/>
      <c r="L183" s="56"/>
      <c r="M183" s="26" t="s">
        <v>294</v>
      </c>
      <c r="N183" s="34" t="s">
        <v>60</v>
      </c>
      <c r="O183" s="10" t="s">
        <v>68</v>
      </c>
      <c r="P183" s="212"/>
    </row>
    <row r="184" spans="1:16" ht="14.25" customHeight="1">
      <c r="A184" s="54"/>
      <c r="B184" s="216"/>
      <c r="C184" s="214"/>
      <c r="D184" s="54"/>
      <c r="E184" s="54" t="s">
        <v>25</v>
      </c>
      <c r="F184" s="54" t="s">
        <v>295</v>
      </c>
      <c r="G184" s="50">
        <v>4</v>
      </c>
      <c r="H184" s="50">
        <v>0</v>
      </c>
      <c r="I184" s="26">
        <v>0</v>
      </c>
      <c r="J184" s="54" t="s">
        <v>52</v>
      </c>
      <c r="K184" s="56" t="s">
        <v>296</v>
      </c>
      <c r="L184" s="56"/>
      <c r="M184" s="26"/>
      <c r="N184" s="26"/>
      <c r="O184" s="57"/>
      <c r="P184" s="213" t="s">
        <v>300</v>
      </c>
    </row>
    <row r="185" spans="1:16" ht="14.25" customHeight="1">
      <c r="A185" s="161"/>
      <c r="B185" s="161"/>
      <c r="C185" s="161"/>
      <c r="D185" s="163"/>
      <c r="E185" s="161"/>
      <c r="F185" s="161"/>
      <c r="G185" s="163"/>
      <c r="H185" s="163"/>
      <c r="I185" s="163"/>
      <c r="J185" s="161"/>
      <c r="K185" s="161"/>
      <c r="L185" s="161"/>
      <c r="M185" s="161"/>
      <c r="N185" s="161"/>
      <c r="O185" s="133"/>
      <c r="P185" s="131"/>
    </row>
    <row r="186" spans="1:16" ht="14.25" customHeight="1">
      <c r="A186" s="79" t="s">
        <v>56</v>
      </c>
      <c r="B186" s="71" t="s">
        <v>18</v>
      </c>
      <c r="C186" s="217" t="s">
        <v>301</v>
      </c>
      <c r="D186" s="81" t="s">
        <v>302</v>
      </c>
      <c r="E186" s="80" t="s">
        <v>303</v>
      </c>
      <c r="F186" s="80"/>
      <c r="G186" s="83"/>
      <c r="H186" s="218"/>
      <c r="I186" s="83"/>
      <c r="J186" s="80"/>
      <c r="K186" s="80"/>
      <c r="L186" s="81"/>
      <c r="M186" s="83" t="s">
        <v>59</v>
      </c>
      <c r="N186" s="34" t="s">
        <v>60</v>
      </c>
      <c r="O186" s="10" t="s">
        <v>68</v>
      </c>
      <c r="P186" s="80"/>
    </row>
    <row r="187" spans="1:16" ht="14.25" customHeight="1">
      <c r="A187" s="81"/>
      <c r="B187" s="71"/>
      <c r="C187" s="217"/>
      <c r="D187" s="81"/>
      <c r="E187" s="80" t="s">
        <v>304</v>
      </c>
      <c r="F187" s="80"/>
      <c r="G187" s="83"/>
      <c r="H187" s="218"/>
      <c r="I187" s="83"/>
      <c r="J187" s="80"/>
      <c r="K187" s="80"/>
      <c r="L187" s="81"/>
      <c r="M187" s="83"/>
      <c r="N187" s="83"/>
      <c r="O187" s="79"/>
      <c r="P187" s="80"/>
    </row>
    <row r="188" spans="1:16" ht="14.25" customHeight="1">
      <c r="A188" s="65"/>
      <c r="B188" s="130"/>
      <c r="C188" s="131"/>
      <c r="D188" s="131"/>
      <c r="E188" s="131"/>
      <c r="F188" s="131"/>
      <c r="G188" s="130"/>
      <c r="H188" s="130"/>
      <c r="I188" s="130"/>
      <c r="J188" s="131"/>
      <c r="K188" s="131"/>
      <c r="L188" s="131"/>
      <c r="M188" s="132"/>
      <c r="N188" s="132"/>
      <c r="O188" s="133"/>
      <c r="P188" s="131"/>
    </row>
    <row r="189" spans="1:16" ht="14.25" customHeight="1">
      <c r="A189" s="79" t="s">
        <v>56</v>
      </c>
      <c r="B189" s="78" t="s">
        <v>72</v>
      </c>
      <c r="C189" s="217" t="s">
        <v>301</v>
      </c>
      <c r="D189" s="81" t="s">
        <v>305</v>
      </c>
      <c r="E189" s="80" t="s">
        <v>303</v>
      </c>
      <c r="F189" s="80"/>
      <c r="G189" s="83"/>
      <c r="H189" s="218"/>
      <c r="I189" s="83"/>
      <c r="J189" s="80"/>
      <c r="K189" s="80"/>
      <c r="L189" s="81"/>
      <c r="M189" s="83" t="s">
        <v>59</v>
      </c>
      <c r="N189" s="34" t="s">
        <v>60</v>
      </c>
      <c r="O189" s="10" t="s">
        <v>68</v>
      </c>
      <c r="P189" s="80"/>
    </row>
    <row r="190" spans="1:16" ht="14.25" customHeight="1">
      <c r="A190" s="81"/>
      <c r="B190" s="78"/>
      <c r="C190" s="217"/>
      <c r="D190" s="81"/>
      <c r="E190" s="80" t="s">
        <v>304</v>
      </c>
      <c r="F190" s="80"/>
      <c r="G190" s="83"/>
      <c r="H190" s="218"/>
      <c r="I190" s="83"/>
      <c r="J190" s="80"/>
      <c r="K190" s="80"/>
      <c r="L190" s="81"/>
      <c r="M190" s="83"/>
      <c r="N190" s="83"/>
      <c r="O190" s="79"/>
      <c r="P190" s="80"/>
    </row>
    <row r="191" spans="1:16" ht="14.25" customHeight="1">
      <c r="A191" s="65"/>
      <c r="B191" s="130"/>
      <c r="C191" s="131"/>
      <c r="D191" s="131"/>
      <c r="E191" s="131"/>
      <c r="F191" s="131"/>
      <c r="G191" s="130"/>
      <c r="H191" s="130"/>
      <c r="I191" s="130"/>
      <c r="J191" s="131"/>
      <c r="K191" s="131"/>
      <c r="L191" s="131"/>
      <c r="M191" s="132"/>
      <c r="N191" s="132"/>
      <c r="O191" s="133"/>
      <c r="P191" s="131"/>
    </row>
    <row r="192" spans="1:16" ht="14.25" customHeight="1">
      <c r="A192" s="79" t="s">
        <v>56</v>
      </c>
      <c r="B192" s="71" t="s">
        <v>306</v>
      </c>
      <c r="C192" s="217" t="s">
        <v>301</v>
      </c>
      <c r="D192" s="81" t="s">
        <v>307</v>
      </c>
      <c r="E192" s="80" t="s">
        <v>303</v>
      </c>
      <c r="F192" s="80"/>
      <c r="G192" s="83"/>
      <c r="H192" s="218"/>
      <c r="I192" s="83"/>
      <c r="J192" s="80"/>
      <c r="K192" s="80"/>
      <c r="L192" s="81"/>
      <c r="M192" s="83" t="s">
        <v>59</v>
      </c>
      <c r="N192" s="34" t="s">
        <v>60</v>
      </c>
      <c r="O192" s="10" t="s">
        <v>68</v>
      </c>
      <c r="P192" s="80"/>
    </row>
    <row r="193" spans="1:16" ht="14.25" customHeight="1">
      <c r="A193" s="81"/>
      <c r="B193" s="71"/>
      <c r="C193" s="217"/>
      <c r="D193" s="81"/>
      <c r="E193" s="80" t="s">
        <v>304</v>
      </c>
      <c r="F193" s="80" t="s">
        <v>47</v>
      </c>
      <c r="G193" s="83">
        <v>4</v>
      </c>
      <c r="H193" s="83">
        <v>0</v>
      </c>
      <c r="I193" s="83">
        <v>8</v>
      </c>
      <c r="J193" s="80" t="s">
        <v>27</v>
      </c>
      <c r="K193" s="80" t="s">
        <v>133</v>
      </c>
      <c r="L193" s="81"/>
      <c r="M193" s="83"/>
      <c r="N193" s="83"/>
      <c r="O193" s="79"/>
      <c r="P193" s="80"/>
    </row>
    <row r="194" spans="1:16" ht="14.25" customHeight="1">
      <c r="A194" s="81"/>
      <c r="B194" s="71"/>
      <c r="C194" s="217"/>
      <c r="D194" s="81"/>
      <c r="E194" s="80"/>
      <c r="F194" s="80"/>
      <c r="G194" s="83"/>
      <c r="H194" s="218"/>
      <c r="I194" s="83"/>
      <c r="J194" s="80"/>
      <c r="K194" s="80" t="s">
        <v>308</v>
      </c>
      <c r="L194" s="81"/>
      <c r="M194" s="83"/>
      <c r="N194" s="83"/>
      <c r="O194" s="79"/>
      <c r="P194" s="80"/>
    </row>
    <row r="195" spans="1:16" ht="14.25" customHeight="1">
      <c r="A195" s="81"/>
      <c r="B195" s="71"/>
      <c r="C195" s="217"/>
      <c r="D195" s="81"/>
      <c r="E195" s="80"/>
      <c r="F195" s="80"/>
      <c r="G195" s="83"/>
      <c r="H195" s="218"/>
      <c r="I195" s="83"/>
      <c r="J195" s="80"/>
      <c r="K195" s="80" t="s">
        <v>309</v>
      </c>
      <c r="L195" s="81"/>
      <c r="M195" s="83"/>
      <c r="N195" s="83"/>
      <c r="O195" s="79"/>
      <c r="P195" s="80"/>
    </row>
    <row r="196" spans="1:16" ht="14.25" customHeight="1">
      <c r="A196" s="65"/>
      <c r="B196" s="130"/>
      <c r="C196" s="131"/>
      <c r="D196" s="131"/>
      <c r="E196" s="131"/>
      <c r="F196" s="131"/>
      <c r="G196" s="130"/>
      <c r="H196" s="130"/>
      <c r="I196" s="130"/>
      <c r="J196" s="131"/>
      <c r="K196" s="131"/>
      <c r="L196" s="131"/>
      <c r="M196" s="132"/>
      <c r="N196" s="132"/>
      <c r="O196" s="133"/>
      <c r="P196" s="131"/>
    </row>
    <row r="197" spans="1:16" ht="14.25" customHeight="1">
      <c r="A197" s="79" t="s">
        <v>56</v>
      </c>
      <c r="B197" s="217" t="s">
        <v>18</v>
      </c>
      <c r="C197" s="217" t="s">
        <v>310</v>
      </c>
      <c r="D197" s="219" t="s">
        <v>311</v>
      </c>
      <c r="E197" s="220" t="s">
        <v>21</v>
      </c>
      <c r="F197" s="220"/>
      <c r="G197" s="217"/>
      <c r="H197" s="217"/>
      <c r="I197" s="217"/>
      <c r="J197" s="220"/>
      <c r="K197" s="220"/>
      <c r="L197" s="220"/>
      <c r="M197" s="34" t="s">
        <v>59</v>
      </c>
      <c r="N197" s="34" t="s">
        <v>60</v>
      </c>
      <c r="O197" s="10" t="s">
        <v>68</v>
      </c>
      <c r="P197" s="220"/>
    </row>
    <row r="198" spans="1:16" ht="14.25" customHeight="1">
      <c r="A198" s="220"/>
      <c r="B198" s="217"/>
      <c r="C198" s="217"/>
      <c r="D198" s="219"/>
      <c r="E198" s="220" t="s">
        <v>25</v>
      </c>
      <c r="F198" s="220" t="s">
        <v>26</v>
      </c>
      <c r="G198" s="217">
        <v>4</v>
      </c>
      <c r="H198" s="217">
        <v>0</v>
      </c>
      <c r="I198" s="217">
        <v>8</v>
      </c>
      <c r="J198" s="220" t="s">
        <v>27</v>
      </c>
      <c r="K198" s="220" t="s">
        <v>312</v>
      </c>
      <c r="L198" s="220"/>
      <c r="M198" s="217"/>
      <c r="N198" s="217"/>
      <c r="O198" s="217"/>
      <c r="P198" s="220"/>
    </row>
    <row r="199" spans="1:16" ht="14.25" customHeight="1">
      <c r="A199" s="220"/>
      <c r="B199" s="217"/>
      <c r="C199" s="217"/>
      <c r="D199" s="219"/>
      <c r="E199" s="220"/>
      <c r="F199" s="220" t="s">
        <v>29</v>
      </c>
      <c r="G199" s="217">
        <v>5</v>
      </c>
      <c r="H199" s="217">
        <v>0</v>
      </c>
      <c r="I199" s="217">
        <v>8</v>
      </c>
      <c r="J199" s="220" t="s">
        <v>27</v>
      </c>
      <c r="K199" s="220" t="s">
        <v>313</v>
      </c>
      <c r="L199" s="220"/>
      <c r="M199" s="217"/>
      <c r="N199" s="217"/>
      <c r="O199" s="217"/>
      <c r="P199" s="220"/>
    </row>
    <row r="200" spans="1:16" ht="14.25" customHeight="1">
      <c r="A200" s="220"/>
      <c r="B200" s="217"/>
      <c r="C200" s="217"/>
      <c r="D200" s="219"/>
      <c r="E200" s="220"/>
      <c r="F200" s="220" t="s">
        <v>31</v>
      </c>
      <c r="G200" s="217">
        <v>6</v>
      </c>
      <c r="H200" s="217">
        <v>0</v>
      </c>
      <c r="I200" s="217">
        <v>8</v>
      </c>
      <c r="J200" s="220" t="s">
        <v>27</v>
      </c>
      <c r="K200" s="220" t="s">
        <v>314</v>
      </c>
      <c r="L200" s="220"/>
      <c r="M200" s="217"/>
      <c r="N200" s="217"/>
      <c r="O200" s="217"/>
      <c r="P200" s="220"/>
    </row>
    <row r="201" spans="1:16" ht="14.25" customHeight="1">
      <c r="A201" s="220"/>
      <c r="B201" s="217"/>
      <c r="C201" s="217"/>
      <c r="D201" s="219"/>
      <c r="E201" s="220"/>
      <c r="F201" s="220" t="s">
        <v>33</v>
      </c>
      <c r="G201" s="217">
        <v>7</v>
      </c>
      <c r="H201" s="217">
        <v>0</v>
      </c>
      <c r="I201" s="217">
        <v>8</v>
      </c>
      <c r="J201" s="220" t="s">
        <v>27</v>
      </c>
      <c r="K201" s="220" t="s">
        <v>315</v>
      </c>
      <c r="L201" s="220"/>
      <c r="M201" s="217"/>
      <c r="N201" s="217"/>
      <c r="O201" s="217"/>
      <c r="P201" s="220"/>
    </row>
    <row r="202" spans="1:16" ht="14.25" customHeight="1">
      <c r="A202" s="220"/>
      <c r="B202" s="217"/>
      <c r="C202" s="217"/>
      <c r="D202" s="219"/>
      <c r="E202" s="220"/>
      <c r="F202" s="220" t="s">
        <v>316</v>
      </c>
      <c r="G202" s="217">
        <v>8</v>
      </c>
      <c r="H202" s="217">
        <v>0</v>
      </c>
      <c r="I202" s="217">
        <v>8</v>
      </c>
      <c r="J202" s="220" t="s">
        <v>27</v>
      </c>
      <c r="K202" s="220" t="s">
        <v>317</v>
      </c>
      <c r="L202" s="220"/>
      <c r="M202" s="217"/>
      <c r="N202" s="217"/>
      <c r="O202" s="217"/>
      <c r="P202" s="220"/>
    </row>
    <row r="203" spans="1:16" ht="14.25" customHeight="1">
      <c r="A203" s="220"/>
      <c r="B203" s="217"/>
      <c r="C203" s="217"/>
      <c r="D203" s="219"/>
      <c r="E203" s="220"/>
      <c r="F203" s="220" t="s">
        <v>318</v>
      </c>
      <c r="G203" s="217">
        <v>9</v>
      </c>
      <c r="H203" s="217">
        <v>0</v>
      </c>
      <c r="I203" s="217">
        <v>8</v>
      </c>
      <c r="J203" s="220" t="s">
        <v>27</v>
      </c>
      <c r="K203" s="220" t="s">
        <v>319</v>
      </c>
      <c r="L203" s="220"/>
      <c r="M203" s="217"/>
      <c r="N203" s="217"/>
      <c r="O203" s="217"/>
      <c r="P203" s="220"/>
    </row>
    <row r="204" spans="1:16" ht="14.25" customHeight="1">
      <c r="A204" s="220"/>
      <c r="B204" s="217"/>
      <c r="C204" s="217"/>
      <c r="D204" s="219"/>
      <c r="E204" s="220"/>
      <c r="F204" s="220" t="s">
        <v>320</v>
      </c>
      <c r="G204" s="217">
        <v>10</v>
      </c>
      <c r="H204" s="217">
        <v>0</v>
      </c>
      <c r="I204" s="217">
        <v>8</v>
      </c>
      <c r="J204" s="220" t="s">
        <v>27</v>
      </c>
      <c r="K204" s="220" t="s">
        <v>321</v>
      </c>
      <c r="L204" s="220"/>
      <c r="M204" s="217"/>
      <c r="N204" s="217"/>
      <c r="O204" s="217"/>
      <c r="P204" s="220"/>
    </row>
    <row r="205" spans="1:16" ht="14.25" customHeight="1">
      <c r="A205" s="220"/>
      <c r="B205" s="217"/>
      <c r="C205" s="217"/>
      <c r="D205" s="219"/>
      <c r="E205" s="220"/>
      <c r="F205" s="220" t="s">
        <v>322</v>
      </c>
      <c r="G205" s="217">
        <v>11</v>
      </c>
      <c r="H205" s="217">
        <v>0</v>
      </c>
      <c r="I205" s="217">
        <v>8</v>
      </c>
      <c r="J205" s="220" t="s">
        <v>27</v>
      </c>
      <c r="K205" s="220" t="s">
        <v>323</v>
      </c>
      <c r="L205" s="220"/>
      <c r="M205" s="217"/>
      <c r="N205" s="217"/>
      <c r="O205" s="217"/>
      <c r="P205" s="220"/>
    </row>
    <row r="206" spans="1:16" ht="14.25" customHeight="1">
      <c r="A206" s="220"/>
      <c r="B206" s="217"/>
      <c r="C206" s="217"/>
      <c r="D206" s="219"/>
      <c r="E206" s="220"/>
      <c r="F206" s="220" t="s">
        <v>324</v>
      </c>
      <c r="G206" s="217">
        <v>12</v>
      </c>
      <c r="H206" s="217">
        <v>0</v>
      </c>
      <c r="I206" s="217">
        <v>8</v>
      </c>
      <c r="J206" s="220" t="s">
        <v>27</v>
      </c>
      <c r="K206" s="220" t="s">
        <v>325</v>
      </c>
      <c r="L206" s="220"/>
      <c r="M206" s="217"/>
      <c r="N206" s="217"/>
      <c r="O206" s="217"/>
      <c r="P206" s="220"/>
    </row>
    <row r="207" spans="1:16" ht="14.25" customHeight="1">
      <c r="A207" s="220"/>
      <c r="B207" s="217"/>
      <c r="C207" s="217"/>
      <c r="D207" s="219"/>
      <c r="E207" s="220"/>
      <c r="F207" s="220" t="s">
        <v>326</v>
      </c>
      <c r="G207" s="217">
        <v>13</v>
      </c>
      <c r="H207" s="217">
        <v>0</v>
      </c>
      <c r="I207" s="217">
        <v>8</v>
      </c>
      <c r="J207" s="220" t="s">
        <v>27</v>
      </c>
      <c r="K207" s="220" t="s">
        <v>327</v>
      </c>
      <c r="L207" s="220"/>
      <c r="M207" s="217"/>
      <c r="N207" s="217"/>
      <c r="O207" s="217"/>
      <c r="P207" s="220"/>
    </row>
    <row r="208" spans="1:16" ht="14.25" customHeight="1">
      <c r="A208" s="220"/>
      <c r="B208" s="217"/>
      <c r="C208" s="217"/>
      <c r="D208" s="219"/>
      <c r="E208" s="220"/>
      <c r="F208" s="220" t="s">
        <v>328</v>
      </c>
      <c r="G208" s="217">
        <v>14</v>
      </c>
      <c r="H208" s="217">
        <v>0</v>
      </c>
      <c r="I208" s="217">
        <v>8</v>
      </c>
      <c r="J208" s="220" t="s">
        <v>27</v>
      </c>
      <c r="K208" s="220" t="s">
        <v>329</v>
      </c>
      <c r="L208" s="220"/>
      <c r="M208" s="217"/>
      <c r="N208" s="217"/>
      <c r="O208" s="217"/>
      <c r="P208" s="220"/>
    </row>
    <row r="209" spans="1:16" ht="14.25" customHeight="1">
      <c r="A209" s="220"/>
      <c r="B209" s="217"/>
      <c r="C209" s="217"/>
      <c r="D209" s="219"/>
      <c r="E209" s="220"/>
      <c r="F209" s="220" t="s">
        <v>330</v>
      </c>
      <c r="G209" s="217">
        <v>15</v>
      </c>
      <c r="H209" s="217">
        <v>0</v>
      </c>
      <c r="I209" s="217">
        <v>8</v>
      </c>
      <c r="J209" s="220" t="s">
        <v>27</v>
      </c>
      <c r="K209" s="220" t="s">
        <v>331</v>
      </c>
      <c r="L209" s="220"/>
      <c r="M209" s="217"/>
      <c r="N209" s="217"/>
      <c r="O209" s="217"/>
      <c r="P209" s="220"/>
    </row>
    <row r="210" spans="1:16" ht="14.25" customHeight="1">
      <c r="A210" s="220"/>
      <c r="B210" s="217"/>
      <c r="C210" s="217"/>
      <c r="D210" s="219"/>
      <c r="E210" s="220"/>
      <c r="F210" s="220" t="s">
        <v>332</v>
      </c>
      <c r="G210" s="217">
        <v>16</v>
      </c>
      <c r="H210" s="217">
        <v>0</v>
      </c>
      <c r="I210" s="217">
        <v>8</v>
      </c>
      <c r="J210" s="220" t="s">
        <v>27</v>
      </c>
      <c r="K210" s="220" t="s">
        <v>333</v>
      </c>
      <c r="L210" s="220"/>
      <c r="M210" s="217"/>
      <c r="N210" s="217"/>
      <c r="O210" s="217"/>
      <c r="P210" s="220"/>
    </row>
    <row r="211" spans="1:16" ht="14.25" customHeight="1">
      <c r="A211" s="65"/>
      <c r="B211" s="130"/>
      <c r="C211" s="131"/>
      <c r="D211" s="131"/>
      <c r="E211" s="131"/>
      <c r="F211" s="131"/>
      <c r="G211" s="130"/>
      <c r="H211" s="130"/>
      <c r="I211" s="130"/>
      <c r="J211" s="131"/>
      <c r="K211" s="131"/>
      <c r="L211" s="131"/>
      <c r="M211" s="132"/>
      <c r="N211" s="132"/>
      <c r="O211" s="133"/>
      <c r="P211" s="131"/>
    </row>
    <row r="212" spans="1:16" ht="14.25" customHeight="1">
      <c r="A212" s="79" t="s">
        <v>56</v>
      </c>
      <c r="B212" s="217" t="s">
        <v>18</v>
      </c>
      <c r="C212" s="217" t="s">
        <v>334</v>
      </c>
      <c r="D212" s="219" t="s">
        <v>335</v>
      </c>
      <c r="E212" s="220" t="s">
        <v>21</v>
      </c>
      <c r="F212" s="220"/>
      <c r="G212" s="217"/>
      <c r="H212" s="217"/>
      <c r="I212" s="217"/>
      <c r="J212" s="220"/>
      <c r="K212" s="220"/>
      <c r="L212" s="220"/>
      <c r="M212" s="217" t="s">
        <v>59</v>
      </c>
      <c r="N212" s="34" t="s">
        <v>60</v>
      </c>
      <c r="O212" s="10" t="s">
        <v>68</v>
      </c>
      <c r="P212" s="220"/>
    </row>
    <row r="213" spans="1:16" ht="14.25" customHeight="1">
      <c r="A213" s="220"/>
      <c r="B213" s="217"/>
      <c r="C213" s="217"/>
      <c r="D213" s="219"/>
      <c r="E213" s="220" t="s">
        <v>25</v>
      </c>
      <c r="F213" s="220"/>
      <c r="G213" s="217"/>
      <c r="H213" s="217"/>
      <c r="I213" s="217"/>
      <c r="J213" s="220"/>
      <c r="K213" s="220"/>
      <c r="L213" s="220"/>
      <c r="M213" s="217"/>
      <c r="N213" s="217"/>
      <c r="O213" s="217"/>
      <c r="P213" s="220"/>
    </row>
    <row r="214" spans="1:16" ht="14.25" customHeight="1">
      <c r="A214" s="65"/>
      <c r="B214" s="130"/>
      <c r="C214" s="131"/>
      <c r="D214" s="131"/>
      <c r="E214" s="131"/>
      <c r="F214" s="131"/>
      <c r="G214" s="130"/>
      <c r="H214" s="130"/>
      <c r="I214" s="130"/>
      <c r="J214" s="131"/>
      <c r="K214" s="131"/>
      <c r="L214" s="131"/>
      <c r="M214" s="132"/>
      <c r="N214" s="132"/>
      <c r="O214" s="133"/>
      <c r="P214" s="131"/>
    </row>
    <row r="215" spans="1:16" ht="14.25" customHeight="1">
      <c r="A215" s="79" t="s">
        <v>56</v>
      </c>
      <c r="B215" s="217" t="s">
        <v>72</v>
      </c>
      <c r="C215" s="217" t="s">
        <v>334</v>
      </c>
      <c r="D215" s="219" t="s">
        <v>336</v>
      </c>
      <c r="E215" s="220" t="s">
        <v>21</v>
      </c>
      <c r="F215" s="220"/>
      <c r="G215" s="217"/>
      <c r="H215" s="217"/>
      <c r="I215" s="217"/>
      <c r="J215" s="220"/>
      <c r="K215" s="220"/>
      <c r="L215" s="220"/>
      <c r="M215" s="217" t="s">
        <v>59</v>
      </c>
      <c r="N215" s="34" t="s">
        <v>60</v>
      </c>
      <c r="O215" s="10" t="s">
        <v>68</v>
      </c>
      <c r="P215" s="220"/>
    </row>
    <row r="216" spans="1:16" ht="14.25" customHeight="1">
      <c r="A216" s="220"/>
      <c r="B216" s="217"/>
      <c r="C216" s="217"/>
      <c r="D216" s="219"/>
      <c r="E216" s="220" t="s">
        <v>25</v>
      </c>
      <c r="F216" s="220"/>
      <c r="G216" s="217"/>
      <c r="H216" s="217"/>
      <c r="I216" s="217"/>
      <c r="J216" s="220"/>
      <c r="K216" s="220"/>
      <c r="L216" s="220"/>
      <c r="M216" s="217"/>
      <c r="N216" s="217"/>
      <c r="O216" s="217"/>
      <c r="P216" s="220"/>
    </row>
    <row r="217" spans="1:16" ht="14.25" customHeight="1">
      <c r="A217" s="65"/>
      <c r="B217" s="130"/>
      <c r="C217" s="131"/>
      <c r="D217" s="131"/>
      <c r="E217" s="131"/>
      <c r="F217" s="131"/>
      <c r="G217" s="130"/>
      <c r="H217" s="130"/>
      <c r="I217" s="130"/>
      <c r="J217" s="131"/>
      <c r="K217" s="131"/>
      <c r="L217" s="131"/>
      <c r="M217" s="132"/>
      <c r="N217" s="132"/>
      <c r="O217" s="133"/>
      <c r="P217" s="131"/>
    </row>
    <row r="218" spans="1:16" ht="14.25" customHeight="1">
      <c r="A218" s="79" t="s">
        <v>56</v>
      </c>
      <c r="B218" s="217" t="s">
        <v>306</v>
      </c>
      <c r="C218" s="217" t="s">
        <v>334</v>
      </c>
      <c r="D218" s="219" t="s">
        <v>337</v>
      </c>
      <c r="E218" s="220" t="s">
        <v>21</v>
      </c>
      <c r="F218" s="220"/>
      <c r="G218" s="217"/>
      <c r="H218" s="217"/>
      <c r="I218" s="217"/>
      <c r="J218" s="220"/>
      <c r="K218" s="220"/>
      <c r="L218" s="220"/>
      <c r="M218" s="217" t="s">
        <v>59</v>
      </c>
      <c r="N218" s="34" t="s">
        <v>60</v>
      </c>
      <c r="O218" s="10" t="s">
        <v>68</v>
      </c>
      <c r="P218" s="220"/>
    </row>
    <row r="219" spans="1:16" ht="14.25" customHeight="1">
      <c r="A219" s="220"/>
      <c r="B219" s="217"/>
      <c r="C219" s="217"/>
      <c r="D219" s="219"/>
      <c r="E219" s="220" t="s">
        <v>25</v>
      </c>
      <c r="F219" s="220" t="s">
        <v>47</v>
      </c>
      <c r="G219" s="217">
        <v>4</v>
      </c>
      <c r="H219" s="217">
        <v>0</v>
      </c>
      <c r="I219" s="217">
        <v>8</v>
      </c>
      <c r="J219" s="220" t="s">
        <v>27</v>
      </c>
      <c r="K219" s="220" t="s">
        <v>133</v>
      </c>
      <c r="L219" s="220"/>
      <c r="M219" s="217"/>
      <c r="N219" s="217"/>
      <c r="O219" s="217"/>
      <c r="P219" s="220"/>
    </row>
    <row r="220" spans="1:16" ht="14.25" customHeight="1">
      <c r="A220" s="220"/>
      <c r="B220" s="217"/>
      <c r="C220" s="217"/>
      <c r="D220" s="219"/>
      <c r="E220" s="220"/>
      <c r="F220" s="220"/>
      <c r="G220" s="217"/>
      <c r="H220" s="217"/>
      <c r="I220" s="217"/>
      <c r="J220" s="220"/>
      <c r="K220" s="220" t="s">
        <v>308</v>
      </c>
      <c r="L220" s="220"/>
      <c r="M220" s="217"/>
      <c r="N220" s="217"/>
      <c r="O220" s="217"/>
      <c r="P220" s="220"/>
    </row>
    <row r="221" spans="1:16" ht="14.25" customHeight="1">
      <c r="A221" s="220"/>
      <c r="B221" s="217"/>
      <c r="C221" s="217"/>
      <c r="D221" s="219"/>
      <c r="E221" s="220"/>
      <c r="F221" s="220"/>
      <c r="G221" s="217"/>
      <c r="H221" s="217"/>
      <c r="I221" s="217"/>
      <c r="J221" s="220"/>
      <c r="K221" s="220" t="s">
        <v>309</v>
      </c>
      <c r="L221" s="220"/>
      <c r="M221" s="217"/>
      <c r="N221" s="217"/>
      <c r="O221" s="217"/>
      <c r="P221" s="220"/>
    </row>
    <row r="222" spans="1:16" ht="14.25" customHeight="1">
      <c r="A222" s="221"/>
      <c r="B222" s="221"/>
      <c r="C222" s="221"/>
      <c r="D222" s="163"/>
      <c r="E222" s="161"/>
      <c r="F222" s="161"/>
      <c r="G222" s="162"/>
      <c r="H222" s="162"/>
      <c r="I222" s="162"/>
      <c r="J222" s="161"/>
      <c r="K222" s="161"/>
      <c r="L222" s="161"/>
      <c r="M222" s="221"/>
      <c r="N222" s="221"/>
      <c r="O222" s="221"/>
      <c r="P222" s="161"/>
    </row>
    <row r="223" spans="1:16" ht="14.25" customHeight="1">
      <c r="A223" s="26" t="s">
        <v>56</v>
      </c>
      <c r="B223" s="106" t="s">
        <v>18</v>
      </c>
      <c r="C223" s="108" t="s">
        <v>338</v>
      </c>
      <c r="D223" s="48" t="s">
        <v>339</v>
      </c>
      <c r="E223" s="164" t="s">
        <v>21</v>
      </c>
      <c r="F223" s="48" t="s">
        <v>150</v>
      </c>
      <c r="G223" s="88">
        <v>4</v>
      </c>
      <c r="H223" s="88"/>
      <c r="I223" s="88">
        <v>8</v>
      </c>
      <c r="J223" s="48" t="s">
        <v>39</v>
      </c>
      <c r="K223" s="48" t="s">
        <v>44</v>
      </c>
      <c r="L223" s="87"/>
      <c r="M223" s="108" t="s">
        <v>59</v>
      </c>
      <c r="N223" s="34" t="s">
        <v>60</v>
      </c>
      <c r="O223" s="10" t="s">
        <v>23</v>
      </c>
      <c r="P223" s="48" t="s">
        <v>151</v>
      </c>
    </row>
    <row r="224" spans="1:16" ht="14.25" customHeight="1">
      <c r="A224" s="77"/>
      <c r="B224" s="106"/>
      <c r="C224" s="107"/>
      <c r="D224" s="48"/>
      <c r="E224" s="48"/>
      <c r="F224" s="48" t="s">
        <v>152</v>
      </c>
      <c r="G224" s="88">
        <v>5</v>
      </c>
      <c r="H224" s="88"/>
      <c r="I224" s="88">
        <v>8</v>
      </c>
      <c r="J224" s="48" t="s">
        <v>39</v>
      </c>
      <c r="K224" s="48" t="s">
        <v>44</v>
      </c>
      <c r="L224" s="87"/>
      <c r="M224" s="88"/>
      <c r="N224" s="88"/>
      <c r="O224" s="108"/>
      <c r="P224" s="48" t="s">
        <v>153</v>
      </c>
    </row>
    <row r="225" spans="1:16" ht="14.25" customHeight="1">
      <c r="A225" s="77"/>
      <c r="B225" s="106"/>
      <c r="C225" s="107"/>
      <c r="D225" s="48"/>
      <c r="E225" s="48"/>
      <c r="F225" s="48" t="s">
        <v>154</v>
      </c>
      <c r="G225" s="88">
        <v>6</v>
      </c>
      <c r="H225" s="88"/>
      <c r="I225" s="88">
        <v>16</v>
      </c>
      <c r="J225" s="48" t="s">
        <v>39</v>
      </c>
      <c r="K225" s="48" t="s">
        <v>44</v>
      </c>
      <c r="L225" s="87"/>
      <c r="M225" s="88"/>
      <c r="N225" s="88"/>
      <c r="O225" s="108"/>
      <c r="P225" s="48"/>
    </row>
    <row r="226" spans="1:16" ht="14.25" customHeight="1">
      <c r="A226" s="77"/>
      <c r="B226" s="106"/>
      <c r="C226" s="107"/>
      <c r="D226" s="48"/>
      <c r="E226" s="48"/>
      <c r="F226" s="48" t="s">
        <v>155</v>
      </c>
      <c r="G226" s="88">
        <v>8</v>
      </c>
      <c r="H226" s="88"/>
      <c r="I226" s="88">
        <v>8</v>
      </c>
      <c r="J226" s="48" t="s">
        <v>39</v>
      </c>
      <c r="K226" s="48" t="s">
        <v>44</v>
      </c>
      <c r="L226" s="87"/>
      <c r="M226" s="88"/>
      <c r="N226" s="88"/>
      <c r="O226" s="108"/>
      <c r="P226" s="48" t="s">
        <v>156</v>
      </c>
    </row>
    <row r="227" spans="1:16" ht="14.25" customHeight="1">
      <c r="A227" s="77"/>
      <c r="B227" s="106"/>
      <c r="C227" s="107"/>
      <c r="D227" s="48"/>
      <c r="E227" s="48"/>
      <c r="F227" s="48" t="s">
        <v>157</v>
      </c>
      <c r="G227" s="88">
        <v>9</v>
      </c>
      <c r="H227" s="88"/>
      <c r="I227" s="88">
        <v>8</v>
      </c>
      <c r="J227" s="48" t="s">
        <v>39</v>
      </c>
      <c r="K227" s="48" t="s">
        <v>44</v>
      </c>
      <c r="L227" s="87"/>
      <c r="M227" s="88"/>
      <c r="N227" s="88"/>
      <c r="O227" s="108"/>
      <c r="P227" s="48" t="s">
        <v>158</v>
      </c>
    </row>
    <row r="228" spans="1:16" ht="14.25" customHeight="1">
      <c r="A228" s="77"/>
      <c r="B228" s="106"/>
      <c r="C228" s="107"/>
      <c r="D228" s="48"/>
      <c r="E228" s="48"/>
      <c r="F228" s="48" t="s">
        <v>159</v>
      </c>
      <c r="G228" s="88">
        <v>10</v>
      </c>
      <c r="H228" s="88"/>
      <c r="I228" s="88">
        <v>8</v>
      </c>
      <c r="J228" s="48" t="s">
        <v>39</v>
      </c>
      <c r="K228" s="48" t="s">
        <v>44</v>
      </c>
      <c r="L228" s="87"/>
      <c r="M228" s="88"/>
      <c r="N228" s="88"/>
      <c r="O228" s="108"/>
      <c r="P228" s="48" t="s">
        <v>160</v>
      </c>
    </row>
    <row r="229" spans="1:16" ht="14.25" customHeight="1">
      <c r="A229" s="87"/>
      <c r="B229" s="106"/>
      <c r="C229" s="108"/>
      <c r="D229" s="48"/>
      <c r="E229" s="87" t="s">
        <v>25</v>
      </c>
      <c r="F229" s="48" t="s">
        <v>61</v>
      </c>
      <c r="G229" s="88">
        <v>4</v>
      </c>
      <c r="H229" s="88">
        <v>0</v>
      </c>
      <c r="I229" s="88">
        <v>8</v>
      </c>
      <c r="J229" s="48" t="s">
        <v>27</v>
      </c>
      <c r="K229" s="48" t="s">
        <v>340</v>
      </c>
      <c r="L229" s="87"/>
      <c r="M229" s="108"/>
      <c r="N229" s="108"/>
      <c r="O229" s="108"/>
      <c r="P229" s="48" t="s">
        <v>341</v>
      </c>
    </row>
    <row r="230" spans="1:16" ht="14.25" customHeight="1">
      <c r="A230" s="221"/>
      <c r="B230" s="221"/>
      <c r="C230" s="221"/>
      <c r="D230" s="163"/>
      <c r="E230" s="161"/>
      <c r="F230" s="161"/>
      <c r="G230" s="162"/>
      <c r="H230" s="162"/>
      <c r="I230" s="162"/>
      <c r="J230" s="161"/>
      <c r="K230" s="161"/>
      <c r="L230" s="161"/>
      <c r="M230" s="221"/>
      <c r="N230" s="221"/>
      <c r="O230" s="221"/>
      <c r="P230" s="161"/>
    </row>
    <row r="231" spans="1:16" ht="14.25" customHeight="1">
      <c r="A231" s="26" t="s">
        <v>56</v>
      </c>
      <c r="B231" s="106" t="s">
        <v>18</v>
      </c>
      <c r="C231" s="108" t="s">
        <v>342</v>
      </c>
      <c r="D231" s="48" t="s">
        <v>343</v>
      </c>
      <c r="E231" s="164" t="s">
        <v>21</v>
      </c>
      <c r="F231" s="48"/>
      <c r="G231" s="88"/>
      <c r="H231" s="88"/>
      <c r="I231" s="88"/>
      <c r="J231" s="48"/>
      <c r="K231" s="48"/>
      <c r="L231" s="87"/>
      <c r="M231" s="88" t="s">
        <v>59</v>
      </c>
      <c r="N231" s="34" t="s">
        <v>60</v>
      </c>
      <c r="O231" s="10" t="s">
        <v>68</v>
      </c>
      <c r="P231" s="48"/>
    </row>
    <row r="232" spans="1:16" ht="14.25" customHeight="1">
      <c r="A232" s="87"/>
      <c r="B232" s="106"/>
      <c r="C232" s="108"/>
      <c r="D232" s="48"/>
      <c r="E232" s="87" t="s">
        <v>25</v>
      </c>
      <c r="F232" s="48" t="s">
        <v>47</v>
      </c>
      <c r="G232" s="88">
        <v>4</v>
      </c>
      <c r="H232" s="88">
        <v>0</v>
      </c>
      <c r="I232" s="88">
        <v>8</v>
      </c>
      <c r="J232" s="48" t="s">
        <v>27</v>
      </c>
      <c r="K232" s="48" t="s">
        <v>340</v>
      </c>
      <c r="L232" s="87"/>
      <c r="M232" s="108"/>
      <c r="N232" s="108"/>
      <c r="O232" s="108"/>
      <c r="P232" s="48" t="s">
        <v>341</v>
      </c>
    </row>
    <row r="233" spans="1:16" ht="14.25" customHeight="1">
      <c r="A233" s="87"/>
      <c r="B233" s="106"/>
      <c r="C233" s="108"/>
      <c r="D233" s="48"/>
      <c r="E233" s="87"/>
      <c r="F233" s="48" t="s">
        <v>344</v>
      </c>
      <c r="G233" s="88">
        <v>5</v>
      </c>
      <c r="H233" s="88">
        <v>0</v>
      </c>
      <c r="I233" s="88">
        <f>6*8</f>
        <v>48</v>
      </c>
      <c r="J233" s="48" t="s">
        <v>52</v>
      </c>
      <c r="K233" s="48" t="s">
        <v>44</v>
      </c>
      <c r="L233" s="87"/>
      <c r="M233" s="108"/>
      <c r="N233" s="108"/>
      <c r="O233" s="108"/>
      <c r="P233" s="48" t="s">
        <v>345</v>
      </c>
    </row>
    <row r="234" spans="1:16" ht="14.25" customHeight="1">
      <c r="A234" s="77"/>
      <c r="B234" s="108"/>
      <c r="C234" s="108"/>
      <c r="D234" s="48"/>
      <c r="E234" s="87"/>
      <c r="F234" s="87" t="s">
        <v>346</v>
      </c>
      <c r="G234" s="88">
        <v>11</v>
      </c>
      <c r="H234" s="88"/>
      <c r="I234" s="88">
        <f>8*8</f>
        <v>64</v>
      </c>
      <c r="J234" s="48" t="s">
        <v>52</v>
      </c>
      <c r="K234" s="48" t="s">
        <v>44</v>
      </c>
      <c r="L234" s="87"/>
      <c r="M234" s="108"/>
      <c r="N234" s="108"/>
      <c r="O234" s="108"/>
      <c r="P234" s="48" t="s">
        <v>347</v>
      </c>
    </row>
    <row r="235" spans="1:16" ht="14.25" customHeight="1">
      <c r="A235" s="221"/>
      <c r="B235" s="221"/>
      <c r="C235" s="221"/>
      <c r="D235" s="163"/>
      <c r="E235" s="161"/>
      <c r="F235" s="161"/>
      <c r="G235" s="162"/>
      <c r="H235" s="162"/>
      <c r="I235" s="162"/>
      <c r="J235" s="161"/>
      <c r="K235" s="161"/>
      <c r="L235" s="161"/>
      <c r="M235" s="221"/>
      <c r="N235" s="221"/>
      <c r="O235" s="221"/>
      <c r="P235" s="161"/>
    </row>
    <row r="236" spans="1:16" ht="14.25" customHeight="1">
      <c r="A236" s="26" t="s">
        <v>56</v>
      </c>
      <c r="B236" s="106" t="s">
        <v>18</v>
      </c>
      <c r="C236" s="108" t="s">
        <v>348</v>
      </c>
      <c r="D236" s="48" t="s">
        <v>349</v>
      </c>
      <c r="E236" s="164" t="s">
        <v>21</v>
      </c>
      <c r="F236" s="48" t="s">
        <v>350</v>
      </c>
      <c r="G236" s="88">
        <v>4</v>
      </c>
      <c r="H236" s="88">
        <v>0</v>
      </c>
      <c r="I236" s="88">
        <v>8</v>
      </c>
      <c r="J236" s="48" t="s">
        <v>27</v>
      </c>
      <c r="K236" s="48" t="s">
        <v>351</v>
      </c>
      <c r="L236" s="87"/>
      <c r="M236" s="88" t="s">
        <v>59</v>
      </c>
      <c r="N236" s="34" t="s">
        <v>60</v>
      </c>
      <c r="O236" s="10" t="s">
        <v>68</v>
      </c>
      <c r="P236" s="48" t="s">
        <v>352</v>
      </c>
    </row>
    <row r="237" spans="1:16" ht="14.25" customHeight="1">
      <c r="A237" s="87"/>
      <c r="B237" s="106"/>
      <c r="C237" s="108"/>
      <c r="D237" s="48"/>
      <c r="E237" s="164"/>
      <c r="F237" s="48" t="s">
        <v>353</v>
      </c>
      <c r="G237" s="88">
        <v>5</v>
      </c>
      <c r="H237" s="88">
        <v>0</v>
      </c>
      <c r="I237" s="88">
        <v>8</v>
      </c>
      <c r="J237" s="48" t="s">
        <v>27</v>
      </c>
      <c r="K237" s="48" t="s">
        <v>354</v>
      </c>
      <c r="L237" s="87"/>
      <c r="M237" s="108"/>
      <c r="N237" s="108"/>
      <c r="O237" s="108"/>
      <c r="P237" s="48" t="s">
        <v>355</v>
      </c>
    </row>
    <row r="238" spans="1:16" ht="14.25" customHeight="1">
      <c r="A238" s="87"/>
      <c r="B238" s="106"/>
      <c r="C238" s="108"/>
      <c r="D238" s="48"/>
      <c r="E238" s="164"/>
      <c r="F238" s="48" t="s">
        <v>356</v>
      </c>
      <c r="G238" s="88">
        <v>6</v>
      </c>
      <c r="H238" s="88">
        <v>0</v>
      </c>
      <c r="I238" s="88">
        <f>3070*8</f>
        <v>24560</v>
      </c>
      <c r="J238" s="48" t="s">
        <v>52</v>
      </c>
      <c r="K238" s="48" t="s">
        <v>44</v>
      </c>
      <c r="L238" s="87"/>
      <c r="M238" s="108"/>
      <c r="N238" s="108"/>
      <c r="O238" s="108"/>
      <c r="P238" s="48" t="s">
        <v>357</v>
      </c>
    </row>
    <row r="239" spans="1:16" ht="14.25" customHeight="1">
      <c r="A239" s="87"/>
      <c r="B239" s="106"/>
      <c r="C239" s="108"/>
      <c r="D239" s="48"/>
      <c r="E239" s="87" t="s">
        <v>25</v>
      </c>
      <c r="F239" s="48" t="s">
        <v>47</v>
      </c>
      <c r="G239" s="88">
        <v>4</v>
      </c>
      <c r="H239" s="88">
        <v>0</v>
      </c>
      <c r="I239" s="88">
        <v>8</v>
      </c>
      <c r="J239" s="48" t="s">
        <v>27</v>
      </c>
      <c r="K239" s="48" t="s">
        <v>358</v>
      </c>
      <c r="L239" s="87"/>
      <c r="M239" s="108"/>
      <c r="N239" s="108"/>
      <c r="O239" s="108"/>
      <c r="P239" s="48" t="s">
        <v>359</v>
      </c>
    </row>
    <row r="240" spans="1:16" ht="14.25" customHeight="1">
      <c r="A240" s="221"/>
      <c r="B240" s="221"/>
      <c r="C240" s="221"/>
      <c r="D240" s="163"/>
      <c r="E240" s="161"/>
      <c r="F240" s="161"/>
      <c r="G240" s="162"/>
      <c r="H240" s="162"/>
      <c r="I240" s="162"/>
      <c r="J240" s="161"/>
      <c r="K240" s="161"/>
      <c r="L240" s="161"/>
      <c r="M240" s="221"/>
      <c r="N240" s="221"/>
      <c r="O240" s="221"/>
      <c r="P240" s="161"/>
    </row>
    <row r="241" spans="1:16" ht="14.25" customHeight="1">
      <c r="A241" s="26" t="s">
        <v>56</v>
      </c>
      <c r="B241" s="107" t="s">
        <v>18</v>
      </c>
      <c r="C241" s="107" t="s">
        <v>360</v>
      </c>
      <c r="D241" s="164" t="s">
        <v>361</v>
      </c>
      <c r="E241" s="164" t="s">
        <v>21</v>
      </c>
      <c r="F241" s="48" t="s">
        <v>350</v>
      </c>
      <c r="G241" s="88">
        <v>4</v>
      </c>
      <c r="H241" s="88">
        <v>0</v>
      </c>
      <c r="I241" s="88">
        <v>8</v>
      </c>
      <c r="J241" s="48" t="s">
        <v>27</v>
      </c>
      <c r="K241" s="48" t="s">
        <v>362</v>
      </c>
      <c r="L241" s="87"/>
      <c r="M241" s="88" t="s">
        <v>59</v>
      </c>
      <c r="N241" s="34" t="s">
        <v>60</v>
      </c>
      <c r="O241" s="10" t="s">
        <v>68</v>
      </c>
      <c r="P241" s="48" t="s">
        <v>363</v>
      </c>
    </row>
    <row r="242" spans="1:16" ht="14.25" customHeight="1">
      <c r="A242" s="77"/>
      <c r="B242" s="107"/>
      <c r="C242" s="107"/>
      <c r="D242" s="164"/>
      <c r="E242" s="48" t="s">
        <v>25</v>
      </c>
      <c r="F242" s="164" t="s">
        <v>106</v>
      </c>
      <c r="G242" s="107">
        <v>4</v>
      </c>
      <c r="H242" s="107">
        <v>0</v>
      </c>
      <c r="I242" s="107">
        <v>8</v>
      </c>
      <c r="J242" s="48" t="s">
        <v>27</v>
      </c>
      <c r="K242" s="91" t="s">
        <v>364</v>
      </c>
      <c r="L242" s="164"/>
      <c r="M242" s="107"/>
      <c r="N242" s="107"/>
      <c r="O242" s="107"/>
      <c r="P242" s="91" t="s">
        <v>108</v>
      </c>
    </row>
    <row r="243" spans="1:16" ht="14.25" customHeight="1">
      <c r="A243" s="221"/>
      <c r="B243" s="221"/>
      <c r="C243" s="221"/>
      <c r="D243" s="163"/>
      <c r="E243" s="161"/>
      <c r="F243" s="161"/>
      <c r="G243" s="162"/>
      <c r="H243" s="162"/>
      <c r="I243" s="162"/>
      <c r="J243" s="161"/>
      <c r="K243" s="161"/>
      <c r="L243" s="161"/>
      <c r="M243" s="221"/>
      <c r="N243" s="221"/>
      <c r="O243" s="221"/>
      <c r="P243" s="161"/>
    </row>
    <row r="244" spans="1:16" ht="14.25" customHeight="1">
      <c r="A244" s="26" t="s">
        <v>56</v>
      </c>
      <c r="B244" s="107" t="s">
        <v>306</v>
      </c>
      <c r="C244" s="107" t="s">
        <v>360</v>
      </c>
      <c r="D244" s="164" t="s">
        <v>365</v>
      </c>
      <c r="E244" s="164" t="s">
        <v>21</v>
      </c>
      <c r="F244" s="164" t="s">
        <v>181</v>
      </c>
      <c r="G244" s="107"/>
      <c r="H244" s="107"/>
      <c r="I244" s="107"/>
      <c r="J244" s="164"/>
      <c r="K244" s="164"/>
      <c r="L244" s="164"/>
      <c r="M244" s="88" t="s">
        <v>59</v>
      </c>
      <c r="N244" s="34" t="s">
        <v>60</v>
      </c>
      <c r="O244" s="10" t="s">
        <v>68</v>
      </c>
      <c r="P244" s="164"/>
    </row>
    <row r="245" spans="1:16" ht="14.25" customHeight="1">
      <c r="A245" s="77"/>
      <c r="B245" s="107"/>
      <c r="C245" s="107"/>
      <c r="D245" s="164"/>
      <c r="E245" s="48" t="s">
        <v>25</v>
      </c>
      <c r="F245" s="164" t="s">
        <v>106</v>
      </c>
      <c r="G245" s="107">
        <v>4</v>
      </c>
      <c r="H245" s="107">
        <v>0</v>
      </c>
      <c r="I245" s="107">
        <v>8</v>
      </c>
      <c r="J245" s="48" t="s">
        <v>27</v>
      </c>
      <c r="K245" s="91" t="s">
        <v>364</v>
      </c>
      <c r="L245" s="164"/>
      <c r="M245" s="107"/>
      <c r="N245" s="107"/>
      <c r="O245" s="107"/>
      <c r="P245" s="91" t="s">
        <v>108</v>
      </c>
    </row>
    <row r="246" spans="1:16" ht="14.25" customHeight="1">
      <c r="A246" s="221"/>
      <c r="B246" s="221"/>
      <c r="C246" s="221"/>
      <c r="D246" s="163"/>
      <c r="E246" s="161"/>
      <c r="F246" s="161"/>
      <c r="G246" s="162"/>
      <c r="H246" s="162"/>
      <c r="I246" s="162"/>
      <c r="J246" s="161"/>
      <c r="K246" s="161"/>
      <c r="L246" s="161"/>
      <c r="M246" s="221"/>
      <c r="N246" s="221"/>
      <c r="O246" s="221"/>
      <c r="P246" s="161"/>
    </row>
    <row r="247" spans="1:16" ht="14.25" customHeight="1">
      <c r="A247" s="26" t="s">
        <v>56</v>
      </c>
      <c r="B247" s="107" t="s">
        <v>18</v>
      </c>
      <c r="C247" s="107" t="s">
        <v>366</v>
      </c>
      <c r="D247" s="164" t="s">
        <v>367</v>
      </c>
      <c r="E247" s="48" t="s">
        <v>21</v>
      </c>
      <c r="F247" s="164" t="s">
        <v>368</v>
      </c>
      <c r="G247" s="107" t="s">
        <v>369</v>
      </c>
      <c r="H247" s="107" t="s">
        <v>370</v>
      </c>
      <c r="I247" s="107" t="s">
        <v>371</v>
      </c>
      <c r="J247" s="48" t="s">
        <v>27</v>
      </c>
      <c r="K247" s="91" t="s">
        <v>372</v>
      </c>
      <c r="L247" s="164"/>
      <c r="M247" s="88" t="s">
        <v>59</v>
      </c>
      <c r="N247" s="34" t="s">
        <v>60</v>
      </c>
      <c r="O247" s="10" t="s">
        <v>68</v>
      </c>
      <c r="P247" s="164"/>
    </row>
    <row r="248" spans="1:16" ht="14.25" customHeight="1">
      <c r="A248" s="77"/>
      <c r="B248" s="107"/>
      <c r="C248" s="107"/>
      <c r="D248" s="164"/>
      <c r="E248" s="48" t="s">
        <v>25</v>
      </c>
      <c r="F248" s="164" t="s">
        <v>106</v>
      </c>
      <c r="G248" s="107">
        <v>4</v>
      </c>
      <c r="H248" s="107">
        <v>0</v>
      </c>
      <c r="I248" s="107">
        <v>8</v>
      </c>
      <c r="J248" s="48" t="s">
        <v>27</v>
      </c>
      <c r="K248" s="91" t="s">
        <v>253</v>
      </c>
      <c r="L248" s="164"/>
      <c r="M248" s="107"/>
      <c r="N248" s="107"/>
      <c r="O248" s="107"/>
      <c r="P248" s="91" t="s">
        <v>108</v>
      </c>
    </row>
    <row r="249" spans="1:16" ht="14.25" customHeight="1">
      <c r="A249" s="221"/>
      <c r="B249" s="221"/>
      <c r="C249" s="221"/>
      <c r="D249" s="163"/>
      <c r="E249" s="161"/>
      <c r="F249" s="161"/>
      <c r="G249" s="162"/>
      <c r="H249" s="162"/>
      <c r="I249" s="162"/>
      <c r="J249" s="161"/>
      <c r="K249" s="161"/>
      <c r="L249" s="161"/>
      <c r="M249" s="221"/>
      <c r="N249" s="221"/>
      <c r="O249" s="221"/>
      <c r="P249" s="161"/>
    </row>
    <row r="250" spans="1:16" ht="14.25" customHeight="1">
      <c r="A250" s="26" t="s">
        <v>56</v>
      </c>
      <c r="B250" s="107" t="s">
        <v>72</v>
      </c>
      <c r="C250" s="107" t="s">
        <v>366</v>
      </c>
      <c r="D250" s="164" t="s">
        <v>373</v>
      </c>
      <c r="E250" s="48" t="s">
        <v>21</v>
      </c>
      <c r="F250" s="164" t="s">
        <v>374</v>
      </c>
      <c r="G250" s="107"/>
      <c r="H250" s="107"/>
      <c r="I250" s="107"/>
      <c r="J250" s="48"/>
      <c r="K250" s="91"/>
      <c r="L250" s="164"/>
      <c r="M250" s="88" t="s">
        <v>59</v>
      </c>
      <c r="N250" s="34" t="s">
        <v>60</v>
      </c>
      <c r="O250" s="10" t="s">
        <v>68</v>
      </c>
      <c r="P250" s="164"/>
    </row>
    <row r="251" spans="1:16" ht="14.25" customHeight="1">
      <c r="A251" s="77"/>
      <c r="B251" s="107"/>
      <c r="C251" s="107"/>
      <c r="D251" s="164"/>
      <c r="E251" s="48" t="s">
        <v>25</v>
      </c>
      <c r="F251" s="164" t="s">
        <v>106</v>
      </c>
      <c r="G251" s="107">
        <v>4</v>
      </c>
      <c r="H251" s="107">
        <v>0</v>
      </c>
      <c r="I251" s="107">
        <v>8</v>
      </c>
      <c r="J251" s="48" t="s">
        <v>27</v>
      </c>
      <c r="K251" s="91" t="s">
        <v>253</v>
      </c>
      <c r="L251" s="164"/>
      <c r="M251" s="107"/>
      <c r="N251" s="107"/>
      <c r="O251" s="107"/>
      <c r="P251" s="91" t="s">
        <v>108</v>
      </c>
    </row>
    <row r="252" spans="1:16" ht="14.25" customHeight="1">
      <c r="A252" s="221"/>
      <c r="B252" s="221"/>
      <c r="C252" s="221"/>
      <c r="D252" s="163"/>
      <c r="E252" s="161"/>
      <c r="F252" s="161"/>
      <c r="G252" s="162"/>
      <c r="H252" s="162"/>
      <c r="I252" s="162"/>
      <c r="J252" s="161"/>
      <c r="K252" s="161"/>
      <c r="L252" s="161"/>
      <c r="M252" s="221"/>
      <c r="N252" s="221"/>
      <c r="O252" s="221"/>
      <c r="P252" s="161"/>
    </row>
    <row r="253" spans="1:16" ht="14.25" customHeight="1">
      <c r="A253" s="26" t="s">
        <v>56</v>
      </c>
      <c r="B253" s="107" t="s">
        <v>306</v>
      </c>
      <c r="C253" s="107" t="s">
        <v>366</v>
      </c>
      <c r="D253" s="164" t="s">
        <v>375</v>
      </c>
      <c r="E253" s="48" t="s">
        <v>21</v>
      </c>
      <c r="F253" s="164" t="s">
        <v>181</v>
      </c>
      <c r="G253" s="107"/>
      <c r="H253" s="107"/>
      <c r="I253" s="107"/>
      <c r="J253" s="164"/>
      <c r="K253" s="164"/>
      <c r="L253" s="164"/>
      <c r="M253" s="88" t="s">
        <v>59</v>
      </c>
      <c r="N253" s="34" t="s">
        <v>60</v>
      </c>
      <c r="O253" s="10" t="s">
        <v>68</v>
      </c>
      <c r="P253" s="164"/>
    </row>
    <row r="254" spans="1:16" ht="14.25" customHeight="1">
      <c r="A254" s="77"/>
      <c r="B254" s="107"/>
      <c r="C254" s="107"/>
      <c r="D254" s="164"/>
      <c r="E254" s="48" t="s">
        <v>25</v>
      </c>
      <c r="F254" s="164" t="s">
        <v>106</v>
      </c>
      <c r="G254" s="107">
        <v>4</v>
      </c>
      <c r="H254" s="107">
        <v>0</v>
      </c>
      <c r="I254" s="107">
        <v>0</v>
      </c>
      <c r="J254" s="48" t="s">
        <v>52</v>
      </c>
      <c r="K254" s="91" t="s">
        <v>296</v>
      </c>
      <c r="L254" s="164"/>
      <c r="M254" s="107"/>
      <c r="N254" s="107"/>
      <c r="O254" s="107"/>
      <c r="P254" s="91" t="s">
        <v>376</v>
      </c>
    </row>
    <row r="255" spans="1:16" ht="14.25" customHeight="1">
      <c r="A255" s="221"/>
      <c r="B255" s="221"/>
      <c r="C255" s="221"/>
      <c r="D255" s="161"/>
      <c r="E255" s="161"/>
      <c r="F255" s="161"/>
      <c r="G255" s="162"/>
      <c r="H255" s="162"/>
      <c r="I255" s="162"/>
      <c r="J255" s="161"/>
      <c r="K255" s="161"/>
      <c r="L255" s="161"/>
      <c r="M255" s="221"/>
      <c r="N255" s="221"/>
      <c r="O255" s="221"/>
      <c r="P255" s="161"/>
    </row>
    <row r="256" spans="1:16" ht="14.25" customHeight="1">
      <c r="A256" s="26" t="s">
        <v>56</v>
      </c>
      <c r="B256" s="107" t="s">
        <v>18</v>
      </c>
      <c r="C256" s="107" t="s">
        <v>377</v>
      </c>
      <c r="D256" s="222" t="s">
        <v>378</v>
      </c>
      <c r="E256" s="48" t="s">
        <v>21</v>
      </c>
      <c r="F256" s="164" t="s">
        <v>181</v>
      </c>
      <c r="G256" s="107"/>
      <c r="H256" s="107"/>
      <c r="I256" s="107"/>
      <c r="J256" s="164"/>
      <c r="K256" s="164"/>
      <c r="L256" s="164"/>
      <c r="M256" s="88" t="s">
        <v>59</v>
      </c>
      <c r="N256" s="34" t="s">
        <v>60</v>
      </c>
      <c r="O256" s="10" t="s">
        <v>68</v>
      </c>
      <c r="P256" s="164"/>
    </row>
    <row r="257" spans="1:16" ht="14.25" customHeight="1">
      <c r="A257" s="77"/>
      <c r="B257" s="107"/>
      <c r="C257" s="107"/>
      <c r="D257" s="222"/>
      <c r="E257" s="48" t="s">
        <v>25</v>
      </c>
      <c r="F257" s="164" t="s">
        <v>106</v>
      </c>
      <c r="G257" s="107">
        <v>4</v>
      </c>
      <c r="H257" s="107">
        <v>0</v>
      </c>
      <c r="I257" s="107" t="s">
        <v>371</v>
      </c>
      <c r="J257" s="48" t="s">
        <v>27</v>
      </c>
      <c r="K257" s="91" t="s">
        <v>379</v>
      </c>
      <c r="L257" s="164"/>
      <c r="M257" s="107"/>
      <c r="N257" s="107"/>
      <c r="O257" s="107"/>
      <c r="P257" s="91"/>
    </row>
    <row r="258" spans="1:16" ht="14.25" customHeight="1">
      <c r="A258" s="221"/>
      <c r="B258" s="221"/>
      <c r="C258" s="221"/>
      <c r="D258" s="161"/>
      <c r="E258" s="161"/>
      <c r="F258" s="161"/>
      <c r="G258" s="162"/>
      <c r="H258" s="162"/>
      <c r="I258" s="162"/>
      <c r="J258" s="161"/>
      <c r="K258" s="161"/>
      <c r="L258" s="161"/>
      <c r="M258" s="221"/>
      <c r="N258" s="221"/>
      <c r="O258" s="221"/>
      <c r="P258" s="161"/>
    </row>
    <row r="259" spans="1:16" ht="14.25" customHeight="1">
      <c r="A259" s="26" t="s">
        <v>56</v>
      </c>
      <c r="B259" s="107" t="s">
        <v>18</v>
      </c>
      <c r="C259" s="107" t="s">
        <v>380</v>
      </c>
      <c r="D259" s="222" t="s">
        <v>381</v>
      </c>
      <c r="E259" s="48" t="s">
        <v>21</v>
      </c>
      <c r="F259" s="164" t="s">
        <v>181</v>
      </c>
      <c r="G259" s="107"/>
      <c r="H259" s="107"/>
      <c r="I259" s="107"/>
      <c r="J259" s="164"/>
      <c r="K259" s="164"/>
      <c r="L259" s="164"/>
      <c r="M259" s="88" t="s">
        <v>59</v>
      </c>
      <c r="N259" s="34" t="s">
        <v>60</v>
      </c>
      <c r="O259" s="10" t="s">
        <v>68</v>
      </c>
      <c r="P259" s="164"/>
    </row>
    <row r="260" spans="1:16" ht="14.25" customHeight="1">
      <c r="A260" s="77"/>
      <c r="B260" s="107"/>
      <c r="C260" s="107"/>
      <c r="D260" s="222"/>
      <c r="E260" s="48" t="s">
        <v>25</v>
      </c>
      <c r="F260" s="164" t="s">
        <v>181</v>
      </c>
      <c r="G260" s="107"/>
      <c r="H260" s="107"/>
      <c r="I260" s="107"/>
      <c r="J260" s="48"/>
      <c r="K260" s="91"/>
      <c r="L260" s="164"/>
      <c r="M260" s="107"/>
      <c r="N260" s="107"/>
      <c r="O260" s="107"/>
      <c r="P260" s="91"/>
    </row>
    <row r="261" spans="1:16" ht="14.25" customHeight="1">
      <c r="A261" s="221"/>
      <c r="B261" s="221"/>
      <c r="C261" s="221"/>
      <c r="D261" s="161"/>
      <c r="E261" s="161"/>
      <c r="F261" s="161"/>
      <c r="G261" s="162"/>
      <c r="H261" s="162"/>
      <c r="I261" s="162"/>
      <c r="J261" s="161"/>
      <c r="K261" s="161"/>
      <c r="L261" s="161"/>
      <c r="M261" s="221"/>
      <c r="N261" s="221"/>
      <c r="O261" s="221"/>
      <c r="P261" s="161"/>
    </row>
    <row r="262" spans="1:16" ht="14.25" customHeight="1">
      <c r="A262" s="26" t="s">
        <v>56</v>
      </c>
      <c r="B262" s="107" t="s">
        <v>18</v>
      </c>
      <c r="C262" s="107" t="s">
        <v>382</v>
      </c>
      <c r="D262" s="222" t="s">
        <v>383</v>
      </c>
      <c r="E262" s="48" t="s">
        <v>21</v>
      </c>
      <c r="F262" s="164" t="s">
        <v>181</v>
      </c>
      <c r="G262" s="107"/>
      <c r="H262" s="107"/>
      <c r="I262" s="107"/>
      <c r="J262" s="164"/>
      <c r="K262" s="164"/>
      <c r="L262" s="164"/>
      <c r="M262" s="88" t="s">
        <v>59</v>
      </c>
      <c r="N262" s="34" t="s">
        <v>60</v>
      </c>
      <c r="O262" s="10" t="s">
        <v>68</v>
      </c>
      <c r="P262" s="164"/>
    </row>
    <row r="263" spans="1:16" ht="14.25" customHeight="1">
      <c r="A263" s="77"/>
      <c r="B263" s="107"/>
      <c r="C263" s="107"/>
      <c r="D263" s="222"/>
      <c r="E263" s="48" t="s">
        <v>25</v>
      </c>
      <c r="F263" s="164" t="s">
        <v>181</v>
      </c>
      <c r="G263" s="107"/>
      <c r="H263" s="107"/>
      <c r="I263" s="107"/>
      <c r="J263" s="164"/>
      <c r="K263" s="91"/>
      <c r="L263" s="164"/>
      <c r="M263" s="107"/>
      <c r="N263" s="107"/>
      <c r="O263" s="107"/>
      <c r="P263" s="91"/>
    </row>
    <row r="264" spans="1:16" ht="14.25" customHeight="1">
      <c r="A264" s="221"/>
      <c r="B264" s="221"/>
      <c r="C264" s="221"/>
      <c r="D264" s="161"/>
      <c r="E264" s="161"/>
      <c r="F264" s="161"/>
      <c r="G264" s="162"/>
      <c r="H264" s="162"/>
      <c r="I264" s="162"/>
      <c r="J264" s="161"/>
      <c r="K264" s="161"/>
      <c r="L264" s="161"/>
      <c r="M264" s="221"/>
      <c r="N264" s="221"/>
      <c r="O264" s="221"/>
      <c r="P264" s="161"/>
    </row>
    <row r="265" spans="1:16" ht="14.25" customHeight="1">
      <c r="A265" s="26" t="s">
        <v>56</v>
      </c>
      <c r="B265" s="107" t="s">
        <v>18</v>
      </c>
      <c r="C265" s="107" t="s">
        <v>384</v>
      </c>
      <c r="D265" s="222" t="s">
        <v>385</v>
      </c>
      <c r="E265" s="48" t="s">
        <v>21</v>
      </c>
      <c r="F265" s="164" t="s">
        <v>181</v>
      </c>
      <c r="G265" s="107"/>
      <c r="H265" s="107"/>
      <c r="I265" s="107"/>
      <c r="J265" s="164"/>
      <c r="K265" s="164"/>
      <c r="L265" s="164"/>
      <c r="M265" s="88" t="s">
        <v>59</v>
      </c>
      <c r="N265" s="34" t="s">
        <v>60</v>
      </c>
      <c r="O265" s="10" t="s">
        <v>68</v>
      </c>
      <c r="P265" s="164"/>
    </row>
    <row r="266" spans="1:16" ht="14.25" customHeight="1">
      <c r="A266" s="77"/>
      <c r="B266" s="107"/>
      <c r="C266" s="107"/>
      <c r="D266" s="222"/>
      <c r="E266" s="48" t="s">
        <v>25</v>
      </c>
      <c r="F266" s="164" t="s">
        <v>181</v>
      </c>
      <c r="G266" s="107"/>
      <c r="H266" s="107"/>
      <c r="I266" s="107"/>
      <c r="J266" s="164"/>
      <c r="K266" s="91"/>
      <c r="L266" s="164"/>
      <c r="M266" s="107"/>
      <c r="N266" s="107"/>
      <c r="O266" s="107"/>
      <c r="P266" s="91"/>
    </row>
    <row r="267" spans="1:16" ht="14.25" customHeight="1">
      <c r="A267" s="221"/>
      <c r="B267" s="221"/>
      <c r="C267" s="221"/>
      <c r="D267" s="161"/>
      <c r="E267" s="161"/>
      <c r="F267" s="161"/>
      <c r="G267" s="162"/>
      <c r="H267" s="162"/>
      <c r="I267" s="162"/>
      <c r="J267" s="161"/>
      <c r="K267" s="161"/>
      <c r="L267" s="161"/>
      <c r="M267" s="221"/>
      <c r="N267" s="221"/>
      <c r="O267" s="221"/>
      <c r="P267" s="161"/>
    </row>
    <row r="268" spans="1:16" ht="14.25" customHeight="1">
      <c r="A268" s="26" t="s">
        <v>56</v>
      </c>
      <c r="B268" s="107" t="s">
        <v>18</v>
      </c>
      <c r="C268" s="107" t="s">
        <v>386</v>
      </c>
      <c r="D268" s="222" t="s">
        <v>387</v>
      </c>
      <c r="E268" s="48" t="s">
        <v>21</v>
      </c>
      <c r="F268" s="164" t="s">
        <v>181</v>
      </c>
      <c r="G268" s="107"/>
      <c r="H268" s="107"/>
      <c r="I268" s="107"/>
      <c r="J268" s="164"/>
      <c r="K268" s="164"/>
      <c r="L268" s="164"/>
      <c r="M268" s="88" t="s">
        <v>59</v>
      </c>
      <c r="N268" s="34" t="s">
        <v>60</v>
      </c>
      <c r="O268" s="10" t="s">
        <v>68</v>
      </c>
      <c r="P268" s="164"/>
    </row>
    <row r="269" spans="1:16" ht="14.25" customHeight="1">
      <c r="A269" s="77"/>
      <c r="B269" s="107"/>
      <c r="C269" s="107"/>
      <c r="D269" s="222"/>
      <c r="E269" s="48" t="s">
        <v>25</v>
      </c>
      <c r="F269" s="164" t="s">
        <v>181</v>
      </c>
      <c r="G269" s="107"/>
      <c r="H269" s="107"/>
      <c r="I269" s="107"/>
      <c r="J269" s="164"/>
      <c r="K269" s="91"/>
      <c r="L269" s="164"/>
      <c r="M269" s="107"/>
      <c r="N269" s="107"/>
      <c r="O269" s="107"/>
      <c r="P269" s="91"/>
    </row>
    <row r="270" spans="1:16" ht="14.25" customHeight="1">
      <c r="A270" s="221"/>
      <c r="B270" s="221"/>
      <c r="C270" s="221"/>
      <c r="D270" s="161"/>
      <c r="E270" s="161"/>
      <c r="F270" s="161"/>
      <c r="G270" s="162"/>
      <c r="H270" s="162"/>
      <c r="I270" s="162"/>
      <c r="J270" s="161"/>
      <c r="K270" s="161"/>
      <c r="L270" s="161"/>
      <c r="M270" s="221"/>
      <c r="N270" s="221"/>
      <c r="O270" s="221"/>
      <c r="P270" s="161"/>
    </row>
    <row r="271" spans="1:16" ht="14.25" customHeight="1">
      <c r="A271" s="26" t="s">
        <v>56</v>
      </c>
      <c r="B271" s="107" t="s">
        <v>306</v>
      </c>
      <c r="C271" s="107" t="s">
        <v>386</v>
      </c>
      <c r="D271" s="222" t="s">
        <v>388</v>
      </c>
      <c r="E271" s="48" t="s">
        <v>21</v>
      </c>
      <c r="F271" s="164" t="s">
        <v>181</v>
      </c>
      <c r="G271" s="107"/>
      <c r="H271" s="107"/>
      <c r="I271" s="107"/>
      <c r="J271" s="164"/>
      <c r="K271" s="164"/>
      <c r="L271" s="164"/>
      <c r="M271" s="88" t="s">
        <v>59</v>
      </c>
      <c r="N271" s="34" t="s">
        <v>60</v>
      </c>
      <c r="O271" s="10" t="s">
        <v>68</v>
      </c>
      <c r="P271" s="164"/>
    </row>
    <row r="272" spans="1:16" ht="14.25" customHeight="1">
      <c r="A272" s="77"/>
      <c r="B272" s="107"/>
      <c r="C272" s="107"/>
      <c r="D272" s="222"/>
      <c r="E272" s="48" t="s">
        <v>25</v>
      </c>
      <c r="F272" s="164" t="s">
        <v>106</v>
      </c>
      <c r="G272" s="107" t="s">
        <v>369</v>
      </c>
      <c r="H272" s="107" t="s">
        <v>370</v>
      </c>
      <c r="I272" s="107" t="s">
        <v>371</v>
      </c>
      <c r="J272" s="164" t="s">
        <v>27</v>
      </c>
      <c r="K272" s="91" t="s">
        <v>389</v>
      </c>
      <c r="L272" s="164"/>
      <c r="M272" s="107"/>
      <c r="N272" s="107"/>
      <c r="O272" s="107"/>
      <c r="P272" s="91"/>
    </row>
    <row r="273" spans="1:16" ht="14.25" customHeight="1">
      <c r="A273" s="221"/>
      <c r="B273" s="221"/>
      <c r="C273" s="221"/>
      <c r="D273" s="161"/>
      <c r="E273" s="161"/>
      <c r="F273" s="161"/>
      <c r="G273" s="162"/>
      <c r="H273" s="162"/>
      <c r="I273" s="162"/>
      <c r="J273" s="161"/>
      <c r="K273" s="161"/>
      <c r="L273" s="161"/>
      <c r="M273" s="221"/>
      <c r="N273" s="221"/>
      <c r="O273" s="221"/>
      <c r="P273" s="161"/>
    </row>
    <row r="274" spans="1:16" ht="14.25" customHeight="1">
      <c r="A274" s="26" t="s">
        <v>56</v>
      </c>
      <c r="B274" s="107" t="s">
        <v>18</v>
      </c>
      <c r="C274" s="107" t="s">
        <v>390</v>
      </c>
      <c r="D274" s="222" t="s">
        <v>391</v>
      </c>
      <c r="E274" s="48" t="s">
        <v>21</v>
      </c>
      <c r="F274" s="164" t="s">
        <v>181</v>
      </c>
      <c r="G274" s="107"/>
      <c r="H274" s="107"/>
      <c r="I274" s="107"/>
      <c r="J274" s="164"/>
      <c r="K274" s="164"/>
      <c r="L274" s="164"/>
      <c r="M274" s="88" t="s">
        <v>59</v>
      </c>
      <c r="N274" s="34" t="s">
        <v>60</v>
      </c>
      <c r="O274" s="10" t="s">
        <v>68</v>
      </c>
      <c r="P274" s="164" t="s">
        <v>392</v>
      </c>
    </row>
    <row r="275" spans="1:16" ht="14.25" customHeight="1">
      <c r="A275" s="77"/>
      <c r="B275" s="107"/>
      <c r="C275" s="107"/>
      <c r="D275" s="222"/>
      <c r="E275" s="48" t="s">
        <v>25</v>
      </c>
      <c r="F275" s="164" t="s">
        <v>181</v>
      </c>
      <c r="G275" s="107"/>
      <c r="H275" s="107"/>
      <c r="I275" s="107"/>
      <c r="J275" s="164"/>
      <c r="K275" s="91"/>
      <c r="L275" s="164"/>
      <c r="M275" s="107"/>
      <c r="N275" s="107"/>
      <c r="O275" s="107"/>
      <c r="P275" s="91"/>
    </row>
    <row r="276" spans="1:16" ht="14.25" customHeight="1">
      <c r="A276" s="221"/>
      <c r="B276" s="221"/>
      <c r="C276" s="221"/>
      <c r="D276" s="161"/>
      <c r="E276" s="161"/>
      <c r="F276" s="161"/>
      <c r="G276" s="162"/>
      <c r="H276" s="162"/>
      <c r="I276" s="162"/>
      <c r="J276" s="161"/>
      <c r="K276" s="161"/>
      <c r="L276" s="161"/>
      <c r="M276" s="221"/>
      <c r="N276" s="221"/>
      <c r="O276" s="221"/>
      <c r="P276" s="161"/>
    </row>
    <row r="277" spans="1:16" ht="14.25" customHeight="1">
      <c r="A277" s="26" t="s">
        <v>56</v>
      </c>
      <c r="B277" s="107" t="s">
        <v>18</v>
      </c>
      <c r="C277" s="107" t="s">
        <v>393</v>
      </c>
      <c r="D277" s="222" t="s">
        <v>394</v>
      </c>
      <c r="E277" s="48" t="s">
        <v>21</v>
      </c>
      <c r="F277" s="164" t="s">
        <v>181</v>
      </c>
      <c r="G277" s="107"/>
      <c r="H277" s="107"/>
      <c r="I277" s="107"/>
      <c r="J277" s="164"/>
      <c r="K277" s="164"/>
      <c r="L277" s="164"/>
      <c r="M277" s="88" t="s">
        <v>59</v>
      </c>
      <c r="N277" s="34" t="s">
        <v>60</v>
      </c>
      <c r="O277" s="10" t="s">
        <v>68</v>
      </c>
      <c r="P277" s="164"/>
    </row>
    <row r="278" spans="1:16" ht="14.25" customHeight="1">
      <c r="A278" s="77"/>
      <c r="B278" s="107"/>
      <c r="C278" s="107"/>
      <c r="D278" s="222"/>
      <c r="E278" s="48" t="s">
        <v>25</v>
      </c>
      <c r="F278" s="164" t="s">
        <v>106</v>
      </c>
      <c r="G278" s="107" t="s">
        <v>369</v>
      </c>
      <c r="H278" s="107" t="s">
        <v>370</v>
      </c>
      <c r="I278" s="107" t="s">
        <v>371</v>
      </c>
      <c r="J278" s="164" t="s">
        <v>27</v>
      </c>
      <c r="K278" s="91" t="s">
        <v>395</v>
      </c>
      <c r="L278" s="164"/>
      <c r="M278" s="107"/>
      <c r="N278" s="107"/>
      <c r="O278" s="107"/>
      <c r="P278" s="91"/>
    </row>
    <row r="279" spans="1:16" ht="14.25" customHeight="1">
      <c r="A279" s="221"/>
      <c r="B279" s="221"/>
      <c r="C279" s="221"/>
      <c r="D279" s="161"/>
      <c r="E279" s="161"/>
      <c r="F279" s="161"/>
      <c r="G279" s="162"/>
      <c r="H279" s="162"/>
      <c r="I279" s="162"/>
      <c r="J279" s="161"/>
      <c r="K279" s="161"/>
      <c r="L279" s="161"/>
      <c r="M279" s="221"/>
      <c r="N279" s="221"/>
      <c r="O279" s="221"/>
      <c r="P279" s="161"/>
    </row>
    <row r="280" spans="1:16" ht="14.25" customHeight="1">
      <c r="A280" s="26" t="s">
        <v>56</v>
      </c>
      <c r="B280" s="107" t="s">
        <v>72</v>
      </c>
      <c r="C280" s="107" t="s">
        <v>393</v>
      </c>
      <c r="D280" s="222" t="s">
        <v>396</v>
      </c>
      <c r="E280" s="48" t="s">
        <v>21</v>
      </c>
      <c r="F280" s="164" t="s">
        <v>181</v>
      </c>
      <c r="G280" s="107"/>
      <c r="H280" s="107"/>
      <c r="I280" s="107"/>
      <c r="J280" s="164"/>
      <c r="K280" s="164"/>
      <c r="L280" s="164"/>
      <c r="M280" s="88" t="s">
        <v>59</v>
      </c>
      <c r="N280" s="34" t="s">
        <v>60</v>
      </c>
      <c r="O280" s="10" t="s">
        <v>68</v>
      </c>
      <c r="P280" s="164"/>
    </row>
    <row r="281" spans="1:16" ht="14.25" customHeight="1">
      <c r="A281" s="77"/>
      <c r="B281" s="107"/>
      <c r="C281" s="107"/>
      <c r="D281" s="222"/>
      <c r="E281" s="48" t="s">
        <v>25</v>
      </c>
      <c r="F281" s="164" t="s">
        <v>106</v>
      </c>
      <c r="G281" s="107" t="s">
        <v>369</v>
      </c>
      <c r="H281" s="107" t="s">
        <v>370</v>
      </c>
      <c r="I281" s="107" t="s">
        <v>371</v>
      </c>
      <c r="J281" s="164" t="s">
        <v>27</v>
      </c>
      <c r="K281" s="91" t="s">
        <v>395</v>
      </c>
      <c r="L281" s="164"/>
      <c r="M281" s="107"/>
      <c r="N281" s="107"/>
      <c r="O281" s="107"/>
      <c r="P281" s="91"/>
    </row>
    <row r="282" spans="1:16" ht="14.25" customHeight="1">
      <c r="A282" s="221"/>
      <c r="B282" s="221"/>
      <c r="C282" s="221"/>
      <c r="D282" s="161"/>
      <c r="E282" s="161"/>
      <c r="F282" s="161"/>
      <c r="G282" s="162"/>
      <c r="H282" s="162"/>
      <c r="I282" s="162"/>
      <c r="J282" s="161"/>
      <c r="K282" s="161"/>
      <c r="L282" s="161"/>
      <c r="M282" s="221"/>
      <c r="N282" s="221"/>
      <c r="O282" s="221"/>
      <c r="P282" s="161"/>
    </row>
    <row r="283" spans="1:16" ht="14.25" customHeight="1">
      <c r="A283" s="26" t="s">
        <v>56</v>
      </c>
      <c r="B283" s="107" t="s">
        <v>18</v>
      </c>
      <c r="C283" s="107" t="s">
        <v>397</v>
      </c>
      <c r="D283" s="222" t="s">
        <v>398</v>
      </c>
      <c r="E283" s="48" t="s">
        <v>21</v>
      </c>
      <c r="F283" s="164" t="s">
        <v>181</v>
      </c>
      <c r="G283" s="107"/>
      <c r="H283" s="107"/>
      <c r="I283" s="107"/>
      <c r="J283" s="164"/>
      <c r="K283" s="164"/>
      <c r="L283" s="164"/>
      <c r="M283" s="88" t="s">
        <v>59</v>
      </c>
      <c r="N283" s="34" t="s">
        <v>60</v>
      </c>
      <c r="O283" s="10" t="s">
        <v>68</v>
      </c>
      <c r="P283" s="164"/>
    </row>
    <row r="284" spans="1:16" ht="14.25" customHeight="1">
      <c r="A284" s="77"/>
      <c r="B284" s="107"/>
      <c r="C284" s="107"/>
      <c r="D284" s="222"/>
      <c r="E284" s="48" t="s">
        <v>25</v>
      </c>
      <c r="F284" s="164" t="s">
        <v>181</v>
      </c>
      <c r="G284" s="107"/>
      <c r="H284" s="107"/>
      <c r="I284" s="107"/>
      <c r="J284" s="164"/>
      <c r="K284" s="91"/>
      <c r="L284" s="164"/>
      <c r="M284" s="107"/>
      <c r="N284" s="107"/>
      <c r="O284" s="107"/>
      <c r="P284" s="91"/>
    </row>
    <row r="285" spans="1:16" ht="14.25" customHeight="1">
      <c r="A285" s="221"/>
      <c r="B285" s="221"/>
      <c r="C285" s="221"/>
      <c r="D285" s="161"/>
      <c r="E285" s="161"/>
      <c r="F285" s="161"/>
      <c r="G285" s="162"/>
      <c r="H285" s="162"/>
      <c r="I285" s="162"/>
      <c r="J285" s="161"/>
      <c r="K285" s="161"/>
      <c r="L285" s="161"/>
      <c r="M285" s="221"/>
      <c r="N285" s="221"/>
      <c r="O285" s="221"/>
      <c r="P285" s="161"/>
    </row>
    <row r="286" spans="1:16" ht="14.25" customHeight="1">
      <c r="A286" s="26" t="s">
        <v>56</v>
      </c>
      <c r="B286" s="107" t="s">
        <v>18</v>
      </c>
      <c r="C286" s="107" t="s">
        <v>399</v>
      </c>
      <c r="D286" s="222" t="s">
        <v>400</v>
      </c>
      <c r="E286" s="48" t="s">
        <v>21</v>
      </c>
      <c r="F286" s="164" t="s">
        <v>401</v>
      </c>
      <c r="G286" s="107" t="s">
        <v>369</v>
      </c>
      <c r="H286" s="107" t="s">
        <v>370</v>
      </c>
      <c r="I286" s="107" t="s">
        <v>371</v>
      </c>
      <c r="J286" s="164" t="s">
        <v>27</v>
      </c>
      <c r="K286" s="164" t="s">
        <v>402</v>
      </c>
      <c r="L286" s="164"/>
      <c r="M286" s="88" t="s">
        <v>59</v>
      </c>
      <c r="N286" s="34" t="s">
        <v>60</v>
      </c>
      <c r="O286" s="10" t="s">
        <v>68</v>
      </c>
      <c r="P286" s="164"/>
    </row>
    <row r="287" spans="1:16" ht="14.25" customHeight="1">
      <c r="A287" s="77"/>
      <c r="B287" s="107"/>
      <c r="C287" s="107"/>
      <c r="D287" s="222"/>
      <c r="E287" s="48" t="s">
        <v>25</v>
      </c>
      <c r="F287" s="164" t="s">
        <v>106</v>
      </c>
      <c r="G287" s="107" t="s">
        <v>369</v>
      </c>
      <c r="H287" s="107" t="s">
        <v>370</v>
      </c>
      <c r="I287" s="107" t="s">
        <v>371</v>
      </c>
      <c r="J287" s="164" t="s">
        <v>27</v>
      </c>
      <c r="K287" s="91" t="s">
        <v>403</v>
      </c>
      <c r="L287" s="164"/>
      <c r="M287" s="107"/>
      <c r="N287" s="107"/>
      <c r="O287" s="107"/>
      <c r="P287" s="91" t="s">
        <v>404</v>
      </c>
    </row>
    <row r="288" spans="1:16" ht="14.25" customHeight="1">
      <c r="A288" s="17"/>
      <c r="B288" s="17"/>
      <c r="C288" s="17"/>
      <c r="D288" s="18"/>
      <c r="E288" s="17"/>
      <c r="F288" s="18"/>
      <c r="G288" s="17"/>
      <c r="H288" s="17"/>
      <c r="I288" s="17"/>
      <c r="J288" s="17"/>
      <c r="K288" s="18"/>
      <c r="L288" s="17"/>
      <c r="M288" s="19"/>
      <c r="N288" s="19"/>
      <c r="O288" s="19"/>
      <c r="P288" s="17"/>
    </row>
    <row r="289" spans="1:16" ht="14.25" customHeight="1">
      <c r="A289" s="26" t="s">
        <v>56</v>
      </c>
      <c r="B289" s="107" t="s">
        <v>18</v>
      </c>
      <c r="C289" s="107" t="s">
        <v>405</v>
      </c>
      <c r="D289" s="223" t="s">
        <v>406</v>
      </c>
      <c r="E289" s="223" t="s">
        <v>21</v>
      </c>
      <c r="F289" s="224" t="s">
        <v>92</v>
      </c>
      <c r="G289" s="225">
        <v>4</v>
      </c>
      <c r="H289" s="225">
        <v>0</v>
      </c>
      <c r="I289" s="225">
        <v>8</v>
      </c>
      <c r="J289" s="38" t="s">
        <v>27</v>
      </c>
      <c r="K289" s="226" t="s">
        <v>407</v>
      </c>
      <c r="L289" s="227"/>
      <c r="M289" s="228" t="s">
        <v>59</v>
      </c>
      <c r="N289" s="34" t="s">
        <v>60</v>
      </c>
      <c r="O289" s="22" t="s">
        <v>23</v>
      </c>
      <c r="P289" s="229"/>
    </row>
    <row r="290" spans="1:16" ht="14.25" customHeight="1">
      <c r="A290" s="230"/>
      <c r="B290" s="231"/>
      <c r="C290" s="232"/>
      <c r="D290" s="223"/>
      <c r="E290" s="223"/>
      <c r="F290" s="224" t="s">
        <v>94</v>
      </c>
      <c r="G290" s="50">
        <f>G289+QUOTIENT((I289+H289),8)</f>
        <v>5</v>
      </c>
      <c r="H290" s="50">
        <f t="shared" ref="H290" si="4">MOD(H289+I289,8)</f>
        <v>0</v>
      </c>
      <c r="I290" s="50">
        <v>32</v>
      </c>
      <c r="J290" s="49" t="s">
        <v>27</v>
      </c>
      <c r="K290" s="51" t="s">
        <v>67</v>
      </c>
      <c r="L290" s="227"/>
      <c r="M290" s="233"/>
      <c r="N290" s="233"/>
      <c r="O290" s="234"/>
      <c r="P290" s="224" t="s">
        <v>95</v>
      </c>
    </row>
    <row r="291" spans="1:16" ht="14.25" customHeight="1">
      <c r="A291" s="230"/>
      <c r="B291" s="231"/>
      <c r="C291" s="232"/>
      <c r="D291" s="223"/>
      <c r="E291" s="235" t="s">
        <v>25</v>
      </c>
      <c r="F291" s="224" t="s">
        <v>61</v>
      </c>
      <c r="G291" s="225">
        <v>4</v>
      </c>
      <c r="H291" s="225">
        <v>0</v>
      </c>
      <c r="I291" s="225">
        <v>8</v>
      </c>
      <c r="J291" s="38" t="s">
        <v>27</v>
      </c>
      <c r="K291" s="236" t="s">
        <v>62</v>
      </c>
      <c r="L291" s="227"/>
      <c r="M291" s="233"/>
      <c r="N291" s="233"/>
      <c r="O291" s="234"/>
      <c r="P291" s="224" t="s">
        <v>63</v>
      </c>
    </row>
    <row r="292" spans="1:16" ht="14.25" customHeight="1">
      <c r="A292" s="230"/>
      <c r="B292" s="231"/>
      <c r="C292" s="232"/>
      <c r="D292" s="223"/>
      <c r="E292" s="223"/>
      <c r="F292" s="224" t="s">
        <v>84</v>
      </c>
      <c r="G292" s="50">
        <f>G291+QUOTIENT((I291+H291),8)</f>
        <v>5</v>
      </c>
      <c r="H292" s="50">
        <f t="shared" ref="H292" si="5">MOD(H291+I291,8)</f>
        <v>0</v>
      </c>
      <c r="I292" s="50">
        <v>32</v>
      </c>
      <c r="J292" s="236" t="s">
        <v>39</v>
      </c>
      <c r="K292" s="236" t="s">
        <v>67</v>
      </c>
      <c r="L292" s="237" t="s">
        <v>85</v>
      </c>
      <c r="M292" s="225"/>
      <c r="N292" s="225"/>
      <c r="O292" s="234"/>
      <c r="P292" s="229" t="s">
        <v>101</v>
      </c>
    </row>
    <row r="293" spans="1:16" ht="14.25" customHeight="1">
      <c r="A293" s="65"/>
      <c r="B293" s="66"/>
      <c r="C293" s="67"/>
      <c r="D293" s="68"/>
      <c r="E293" s="65"/>
      <c r="F293" s="69"/>
      <c r="G293" s="66"/>
      <c r="H293" s="66"/>
      <c r="I293" s="66"/>
      <c r="J293" s="69"/>
      <c r="K293" s="70"/>
      <c r="L293" s="69"/>
      <c r="M293" s="41"/>
      <c r="N293" s="41"/>
      <c r="O293" s="41"/>
      <c r="P293" s="70"/>
    </row>
    <row r="294" spans="1:16" ht="14.25" customHeight="1">
      <c r="A294" s="26" t="s">
        <v>56</v>
      </c>
      <c r="B294" s="107" t="s">
        <v>18</v>
      </c>
      <c r="C294" s="107" t="s">
        <v>408</v>
      </c>
      <c r="D294" s="223" t="s">
        <v>409</v>
      </c>
      <c r="E294" s="223" t="s">
        <v>21</v>
      </c>
      <c r="F294" s="224" t="s">
        <v>104</v>
      </c>
      <c r="G294" s="225">
        <v>4</v>
      </c>
      <c r="H294" s="225">
        <v>0</v>
      </c>
      <c r="I294" s="225">
        <v>8</v>
      </c>
      <c r="J294" s="38" t="s">
        <v>27</v>
      </c>
      <c r="K294" s="226" t="s">
        <v>410</v>
      </c>
      <c r="L294" s="227"/>
      <c r="M294" s="228" t="s">
        <v>59</v>
      </c>
      <c r="N294" s="34" t="s">
        <v>60</v>
      </c>
      <c r="O294" s="22" t="s">
        <v>23</v>
      </c>
      <c r="P294" s="229"/>
    </row>
    <row r="295" spans="1:16" ht="14.25" customHeight="1">
      <c r="A295" s="230"/>
      <c r="B295" s="231"/>
      <c r="C295" s="232"/>
      <c r="D295" s="223"/>
      <c r="E295" s="223"/>
      <c r="F295" s="224" t="s">
        <v>92</v>
      </c>
      <c r="G295" s="50">
        <f>G294+QUOTIENT((I294+H294),8)</f>
        <v>5</v>
      </c>
      <c r="H295" s="50">
        <f t="shared" ref="H295:H296" si="6">MOD(H294+I294,8)</f>
        <v>0</v>
      </c>
      <c r="I295" s="50">
        <v>8</v>
      </c>
      <c r="J295" s="49" t="s">
        <v>27</v>
      </c>
      <c r="K295" s="51" t="s">
        <v>411</v>
      </c>
      <c r="L295" s="227"/>
      <c r="M295" s="228"/>
      <c r="N295" s="228"/>
      <c r="O295" s="234"/>
      <c r="P295" s="229"/>
    </row>
    <row r="296" spans="1:16" ht="14.25" customHeight="1">
      <c r="A296" s="230"/>
      <c r="B296" s="231"/>
      <c r="C296" s="232"/>
      <c r="D296" s="223"/>
      <c r="E296" s="235"/>
      <c r="F296" s="224" t="s">
        <v>94</v>
      </c>
      <c r="G296" s="50">
        <f>G295+QUOTIENT((I295+H295),8)</f>
        <v>6</v>
      </c>
      <c r="H296" s="50">
        <f t="shared" si="6"/>
        <v>0</v>
      </c>
      <c r="I296" s="225">
        <v>32</v>
      </c>
      <c r="J296" s="38" t="s">
        <v>27</v>
      </c>
      <c r="K296" s="236" t="s">
        <v>67</v>
      </c>
      <c r="L296" s="227"/>
      <c r="M296" s="233"/>
      <c r="N296" s="233"/>
      <c r="O296" s="234"/>
      <c r="P296" s="224" t="s">
        <v>95</v>
      </c>
    </row>
    <row r="297" spans="1:16" ht="14.25" customHeight="1">
      <c r="A297" s="230"/>
      <c r="B297" s="231"/>
      <c r="C297" s="232"/>
      <c r="D297" s="223"/>
      <c r="E297" s="223" t="s">
        <v>25</v>
      </c>
      <c r="F297" s="224" t="s">
        <v>61</v>
      </c>
      <c r="G297" s="225">
        <v>4</v>
      </c>
      <c r="H297" s="225">
        <v>0</v>
      </c>
      <c r="I297" s="225">
        <v>8</v>
      </c>
      <c r="J297" s="236" t="s">
        <v>27</v>
      </c>
      <c r="K297" s="236" t="s">
        <v>412</v>
      </c>
      <c r="L297" s="227"/>
      <c r="M297" s="233"/>
      <c r="N297" s="233"/>
      <c r="O297" s="234"/>
      <c r="P297" s="224" t="s">
        <v>63</v>
      </c>
    </row>
    <row r="298" spans="1:16" ht="14.25" customHeight="1">
      <c r="A298" s="26"/>
      <c r="B298" s="231"/>
      <c r="C298" s="232"/>
      <c r="D298" s="223"/>
      <c r="E298" s="223"/>
      <c r="F298" s="224" t="s">
        <v>84</v>
      </c>
      <c r="G298" s="225">
        <v>5</v>
      </c>
      <c r="H298" s="225">
        <v>0</v>
      </c>
      <c r="I298" s="225">
        <v>32</v>
      </c>
      <c r="J298" s="38" t="s">
        <v>39</v>
      </c>
      <c r="K298" s="226" t="s">
        <v>413</v>
      </c>
      <c r="L298" s="237" t="s">
        <v>85</v>
      </c>
      <c r="M298" s="225"/>
      <c r="N298" s="225"/>
      <c r="O298" s="234"/>
      <c r="P298" s="229" t="s">
        <v>101</v>
      </c>
    </row>
    <row r="299" spans="1:16" ht="14.25" customHeight="1">
      <c r="A299" s="65"/>
      <c r="B299" s="66"/>
      <c r="C299" s="67"/>
      <c r="D299" s="68"/>
      <c r="E299" s="65"/>
      <c r="F299" s="69"/>
      <c r="G299" s="66"/>
      <c r="H299" s="66"/>
      <c r="I299" s="66"/>
      <c r="J299" s="69"/>
      <c r="K299" s="70"/>
      <c r="L299" s="69"/>
      <c r="M299" s="41"/>
      <c r="N299" s="41"/>
      <c r="O299" s="41"/>
      <c r="P299" s="70"/>
    </row>
    <row r="300" spans="1:16" ht="14.25" customHeight="1">
      <c r="A300" s="26" t="s">
        <v>56</v>
      </c>
      <c r="B300" s="107" t="s">
        <v>18</v>
      </c>
      <c r="C300" s="107" t="s">
        <v>414</v>
      </c>
      <c r="D300" s="223" t="s">
        <v>415</v>
      </c>
      <c r="E300" s="223" t="s">
        <v>21</v>
      </c>
      <c r="F300" s="224" t="s">
        <v>104</v>
      </c>
      <c r="G300" s="225">
        <v>4</v>
      </c>
      <c r="H300" s="225">
        <v>0</v>
      </c>
      <c r="I300" s="225">
        <v>8</v>
      </c>
      <c r="J300" s="38" t="s">
        <v>27</v>
      </c>
      <c r="K300" s="226" t="s">
        <v>410</v>
      </c>
      <c r="L300" s="227"/>
      <c r="M300" s="228" t="s">
        <v>59</v>
      </c>
      <c r="N300" s="34" t="s">
        <v>60</v>
      </c>
      <c r="O300" s="22" t="s">
        <v>23</v>
      </c>
      <c r="P300" s="229"/>
    </row>
    <row r="301" spans="1:16" ht="14.25" customHeight="1">
      <c r="A301" s="26"/>
      <c r="B301" s="231"/>
      <c r="C301" s="232"/>
      <c r="D301" s="223"/>
      <c r="E301" s="223"/>
      <c r="F301" s="224" t="s">
        <v>92</v>
      </c>
      <c r="G301" s="50">
        <f>G300+QUOTIENT((I300+H300),8)</f>
        <v>5</v>
      </c>
      <c r="H301" s="50">
        <f t="shared" ref="H301:H302" si="7">MOD(H300+I300,8)</f>
        <v>0</v>
      </c>
      <c r="I301" s="50">
        <v>8</v>
      </c>
      <c r="J301" s="38" t="s">
        <v>27</v>
      </c>
      <c r="K301" s="226" t="s">
        <v>416</v>
      </c>
      <c r="L301" s="227"/>
      <c r="M301" s="228"/>
      <c r="N301" s="228"/>
      <c r="O301" s="234"/>
      <c r="P301" s="229"/>
    </row>
    <row r="302" spans="1:16" ht="14.25" customHeight="1">
      <c r="A302" s="238"/>
      <c r="B302" s="231"/>
      <c r="C302" s="232"/>
      <c r="D302" s="223"/>
      <c r="E302" s="223"/>
      <c r="F302" s="224" t="s">
        <v>94</v>
      </c>
      <c r="G302" s="50">
        <f>G301+QUOTIENT((I301+H301),8)</f>
        <v>6</v>
      </c>
      <c r="H302" s="50">
        <f t="shared" si="7"/>
        <v>0</v>
      </c>
      <c r="I302" s="225">
        <v>32</v>
      </c>
      <c r="J302" s="49" t="s">
        <v>27</v>
      </c>
      <c r="K302" s="51" t="s">
        <v>67</v>
      </c>
      <c r="L302" s="227"/>
      <c r="M302" s="233"/>
      <c r="N302" s="233"/>
      <c r="O302" s="234"/>
      <c r="P302" s="224" t="s">
        <v>95</v>
      </c>
    </row>
    <row r="303" spans="1:16" ht="14.25" customHeight="1">
      <c r="A303" s="238"/>
      <c r="B303" s="231"/>
      <c r="C303" s="232"/>
      <c r="D303" s="223"/>
      <c r="E303" s="235" t="s">
        <v>25</v>
      </c>
      <c r="F303" s="224" t="s">
        <v>61</v>
      </c>
      <c r="G303" s="225">
        <v>4</v>
      </c>
      <c r="H303" s="225">
        <v>0</v>
      </c>
      <c r="I303" s="225">
        <v>8</v>
      </c>
      <c r="J303" s="38" t="s">
        <v>27</v>
      </c>
      <c r="K303" s="236" t="s">
        <v>62</v>
      </c>
      <c r="L303" s="227"/>
      <c r="M303" s="233"/>
      <c r="N303" s="233"/>
      <c r="O303" s="234"/>
      <c r="P303" s="224" t="s">
        <v>63</v>
      </c>
    </row>
    <row r="304" spans="1:16" ht="14.25" customHeight="1">
      <c r="A304" s="239"/>
      <c r="B304" s="240"/>
      <c r="C304" s="241"/>
      <c r="D304" s="242"/>
      <c r="E304" s="242"/>
      <c r="F304" s="243" t="s">
        <v>84</v>
      </c>
      <c r="G304" s="244">
        <v>5</v>
      </c>
      <c r="H304" s="244">
        <v>0</v>
      </c>
      <c r="I304" s="244">
        <v>32</v>
      </c>
      <c r="J304" s="245" t="s">
        <v>39</v>
      </c>
      <c r="K304" s="245" t="s">
        <v>413</v>
      </c>
      <c r="L304" s="246" t="s">
        <v>85</v>
      </c>
      <c r="M304" s="244"/>
      <c r="N304" s="244"/>
      <c r="O304" s="247"/>
      <c r="P304" s="248" t="s">
        <v>101</v>
      </c>
    </row>
    <row r="305" spans="1:16" ht="14.25" customHeight="1">
      <c r="A305" s="67"/>
      <c r="B305" s="66"/>
      <c r="C305" s="67"/>
      <c r="D305" s="68"/>
      <c r="E305" s="65"/>
      <c r="F305" s="69"/>
      <c r="G305" s="66"/>
      <c r="H305" s="66"/>
      <c r="I305" s="66"/>
      <c r="J305" s="69"/>
      <c r="K305" s="70"/>
      <c r="L305" s="69"/>
      <c r="M305" s="41"/>
      <c r="N305" s="41"/>
      <c r="O305" s="41"/>
      <c r="P305" s="70"/>
    </row>
    <row r="306" spans="1:16" ht="14.25" customHeight="1">
      <c r="A306" s="26" t="s">
        <v>56</v>
      </c>
      <c r="B306" s="46" t="s">
        <v>18</v>
      </c>
      <c r="C306" s="94" t="s">
        <v>417</v>
      </c>
      <c r="D306" s="53" t="s">
        <v>418</v>
      </c>
      <c r="E306" s="95" t="s">
        <v>21</v>
      </c>
      <c r="F306" s="104" t="s">
        <v>181</v>
      </c>
      <c r="G306" s="111"/>
      <c r="H306" s="111"/>
      <c r="I306" s="111"/>
      <c r="J306" s="38"/>
      <c r="K306" s="32"/>
      <c r="L306" s="56"/>
      <c r="M306" s="39" t="s">
        <v>113</v>
      </c>
      <c r="N306" s="39" t="s">
        <v>60</v>
      </c>
      <c r="O306" s="10" t="s">
        <v>68</v>
      </c>
      <c r="P306" s="54" t="s">
        <v>419</v>
      </c>
    </row>
    <row r="307" spans="1:16" ht="14.25" customHeight="1">
      <c r="A307" s="49"/>
      <c r="B307" s="46"/>
      <c r="C307" s="94"/>
      <c r="D307" s="53"/>
      <c r="E307" s="53" t="s">
        <v>25</v>
      </c>
      <c r="F307" s="104" t="s">
        <v>181</v>
      </c>
      <c r="G307" s="50"/>
      <c r="H307" s="111"/>
      <c r="I307" s="111"/>
      <c r="J307" s="38"/>
      <c r="K307" s="38"/>
      <c r="L307" s="87"/>
      <c r="M307" s="26"/>
      <c r="N307" s="26"/>
      <c r="O307" s="57"/>
      <c r="P307" s="48"/>
    </row>
    <row r="308" spans="1:16" ht="14.25" customHeight="1">
      <c r="A308" s="67"/>
      <c r="B308" s="66"/>
      <c r="C308" s="67"/>
      <c r="D308" s="68"/>
      <c r="E308" s="65"/>
      <c r="F308" s="69"/>
      <c r="G308" s="66"/>
      <c r="H308" s="66"/>
      <c r="I308" s="66"/>
      <c r="J308" s="69"/>
      <c r="K308" s="70"/>
      <c r="L308" s="69"/>
      <c r="M308" s="41"/>
      <c r="N308" s="41"/>
      <c r="O308" s="41"/>
      <c r="P308" s="70"/>
    </row>
    <row r="309" spans="1:16" ht="14.25" customHeight="1">
      <c r="A309" s="26" t="s">
        <v>56</v>
      </c>
      <c r="B309" s="46" t="s">
        <v>72</v>
      </c>
      <c r="C309" s="94" t="s">
        <v>417</v>
      </c>
      <c r="D309" s="53" t="s">
        <v>418</v>
      </c>
      <c r="E309" s="95" t="s">
        <v>21</v>
      </c>
      <c r="F309" s="104" t="s">
        <v>181</v>
      </c>
      <c r="G309" s="111"/>
      <c r="H309" s="111"/>
      <c r="I309" s="111"/>
      <c r="J309" s="38"/>
      <c r="K309" s="32"/>
      <c r="L309" s="56"/>
      <c r="M309" s="39" t="s">
        <v>113</v>
      </c>
      <c r="N309" s="39" t="s">
        <v>60</v>
      </c>
      <c r="O309" s="10" t="s">
        <v>68</v>
      </c>
      <c r="P309" s="54" t="s">
        <v>420</v>
      </c>
    </row>
    <row r="310" spans="1:16" ht="14.25" customHeight="1">
      <c r="A310" s="49"/>
      <c r="B310" s="46"/>
      <c r="C310" s="94"/>
      <c r="D310" s="53"/>
      <c r="E310" s="53" t="s">
        <v>25</v>
      </c>
      <c r="F310" s="104" t="s">
        <v>181</v>
      </c>
      <c r="G310" s="50"/>
      <c r="H310" s="111"/>
      <c r="I310" s="111"/>
      <c r="J310" s="38"/>
      <c r="K310" s="38"/>
      <c r="L310" s="87"/>
      <c r="M310" s="26"/>
      <c r="N310" s="26"/>
      <c r="O310" s="57"/>
      <c r="P310" s="48"/>
    </row>
    <row r="311" spans="1:16" ht="14.25" customHeight="1">
      <c r="A311" s="67"/>
      <c r="B311" s="66"/>
      <c r="C311" s="67"/>
      <c r="D311" s="68"/>
      <c r="E311" s="65"/>
      <c r="F311" s="69"/>
      <c r="G311" s="66"/>
      <c r="H311" s="66"/>
      <c r="I311" s="66"/>
      <c r="J311" s="69"/>
      <c r="K311" s="70"/>
      <c r="L311" s="69"/>
      <c r="M311" s="41"/>
      <c r="N311" s="41"/>
      <c r="O311" s="41"/>
      <c r="P311" s="70"/>
    </row>
    <row r="312" spans="1:16" ht="14.25" customHeight="1">
      <c r="A312" s="26" t="s">
        <v>56</v>
      </c>
      <c r="B312" s="46" t="s">
        <v>18</v>
      </c>
      <c r="C312" s="94" t="s">
        <v>421</v>
      </c>
      <c r="D312" s="53" t="s">
        <v>422</v>
      </c>
      <c r="E312" s="95" t="s">
        <v>21</v>
      </c>
      <c r="F312" s="104" t="s">
        <v>181</v>
      </c>
      <c r="G312" s="111"/>
      <c r="H312" s="111"/>
      <c r="I312" s="111"/>
      <c r="J312" s="38"/>
      <c r="K312" s="32"/>
      <c r="L312" s="56"/>
      <c r="M312" s="39" t="s">
        <v>113</v>
      </c>
      <c r="N312" s="39" t="s">
        <v>60</v>
      </c>
      <c r="O312" s="10" t="s">
        <v>68</v>
      </c>
      <c r="P312" s="54" t="s">
        <v>422</v>
      </c>
    </row>
    <row r="313" spans="1:16" ht="14.25" customHeight="1">
      <c r="A313" s="49"/>
      <c r="B313" s="46"/>
      <c r="C313" s="94"/>
      <c r="D313" s="53"/>
      <c r="E313" s="53" t="s">
        <v>25</v>
      </c>
      <c r="F313" s="104" t="s">
        <v>181</v>
      </c>
      <c r="G313" s="50"/>
      <c r="H313" s="111"/>
      <c r="I313" s="111"/>
      <c r="J313" s="38"/>
      <c r="K313" s="38"/>
      <c r="L313" s="87"/>
      <c r="M313" s="26"/>
      <c r="N313" s="26"/>
      <c r="O313" s="57"/>
      <c r="P313" s="48"/>
    </row>
    <row r="314" spans="1:16" ht="14.25" customHeight="1">
      <c r="A314" s="67"/>
      <c r="B314" s="66"/>
      <c r="C314" s="67"/>
      <c r="D314" s="68"/>
      <c r="E314" s="65"/>
      <c r="F314" s="69"/>
      <c r="G314" s="66"/>
      <c r="H314" s="66"/>
      <c r="I314" s="66"/>
      <c r="J314" s="69"/>
      <c r="K314" s="70"/>
      <c r="L314" s="69"/>
      <c r="M314" s="41"/>
      <c r="N314" s="41"/>
      <c r="O314" s="41"/>
      <c r="P314" s="70"/>
    </row>
    <row r="315" spans="1:16" ht="14.25" customHeight="1">
      <c r="A315" s="54" t="s">
        <v>56</v>
      </c>
      <c r="B315" s="216" t="s">
        <v>18</v>
      </c>
      <c r="C315" s="214" t="s">
        <v>423</v>
      </c>
      <c r="D315" s="54" t="s">
        <v>424</v>
      </c>
      <c r="E315" s="54" t="s">
        <v>21</v>
      </c>
      <c r="F315" s="54" t="s">
        <v>70</v>
      </c>
      <c r="G315" s="56">
        <v>4</v>
      </c>
      <c r="H315" s="56">
        <v>0</v>
      </c>
      <c r="I315" s="56">
        <v>8</v>
      </c>
      <c r="J315" s="54" t="s">
        <v>39</v>
      </c>
      <c r="K315" s="54" t="s">
        <v>425</v>
      </c>
      <c r="L315" s="56"/>
      <c r="M315" s="39" t="s">
        <v>59</v>
      </c>
      <c r="N315" s="39" t="s">
        <v>60</v>
      </c>
      <c r="O315" s="10" t="s">
        <v>68</v>
      </c>
      <c r="P315" s="54"/>
    </row>
    <row r="316" spans="1:16" ht="14.25" customHeight="1">
      <c r="A316" s="56"/>
      <c r="B316" s="216"/>
      <c r="C316" s="214"/>
      <c r="D316" s="54"/>
      <c r="E316" s="54" t="s">
        <v>25</v>
      </c>
      <c r="F316" s="54" t="s">
        <v>70</v>
      </c>
      <c r="G316" s="56">
        <v>4</v>
      </c>
      <c r="H316" s="56">
        <v>0</v>
      </c>
      <c r="I316" s="56">
        <v>8</v>
      </c>
      <c r="J316" s="54" t="s">
        <v>39</v>
      </c>
      <c r="K316" s="54" t="s">
        <v>425</v>
      </c>
      <c r="L316" s="56"/>
      <c r="M316" s="39"/>
      <c r="N316" s="48"/>
      <c r="O316" s="48"/>
      <c r="P316" s="48"/>
    </row>
    <row r="317" spans="1:16" ht="14.25" customHeight="1">
      <c r="A317" s="54" t="s">
        <v>56</v>
      </c>
      <c r="B317" s="249" t="s">
        <v>72</v>
      </c>
      <c r="C317" s="214"/>
      <c r="D317" s="54"/>
      <c r="E317" s="250" t="s">
        <v>21</v>
      </c>
      <c r="F317" s="250" t="s">
        <v>70</v>
      </c>
      <c r="G317" s="250">
        <v>4</v>
      </c>
      <c r="H317" s="250">
        <v>0</v>
      </c>
      <c r="I317" s="250">
        <v>8</v>
      </c>
      <c r="J317" s="54" t="s">
        <v>39</v>
      </c>
      <c r="K317" s="54" t="s">
        <v>425</v>
      </c>
      <c r="L317" s="250" t="s">
        <v>73</v>
      </c>
      <c r="M317" s="39" t="s">
        <v>113</v>
      </c>
      <c r="N317" s="39" t="s">
        <v>60</v>
      </c>
      <c r="O317" s="10" t="s">
        <v>68</v>
      </c>
      <c r="P317" s="54"/>
    </row>
    <row r="318" spans="1:16" ht="14.25" customHeight="1">
      <c r="A318" s="56"/>
      <c r="B318" s="54"/>
      <c r="C318" s="214"/>
      <c r="D318" s="54"/>
      <c r="E318" s="64" t="s">
        <v>25</v>
      </c>
      <c r="F318" s="64" t="s">
        <v>70</v>
      </c>
      <c r="G318" s="64">
        <v>4</v>
      </c>
      <c r="H318" s="64">
        <v>0</v>
      </c>
      <c r="I318" s="64">
        <v>8</v>
      </c>
      <c r="J318" s="64" t="s">
        <v>39</v>
      </c>
      <c r="K318" s="64" t="s">
        <v>425</v>
      </c>
      <c r="L318" s="64" t="s">
        <v>73</v>
      </c>
      <c r="M318" s="39" t="s">
        <v>73</v>
      </c>
      <c r="N318" s="64" t="s">
        <v>73</v>
      </c>
      <c r="O318" s="48"/>
      <c r="P318" s="48"/>
    </row>
    <row r="319" spans="1:16" ht="14.25" customHeight="1">
      <c r="A319" s="251"/>
      <c r="B319" s="252"/>
      <c r="C319" s="252"/>
      <c r="D319" s="253"/>
      <c r="E319" s="251"/>
      <c r="F319" s="252"/>
      <c r="G319" s="252"/>
      <c r="H319" s="252"/>
      <c r="I319" s="252"/>
      <c r="J319" s="252"/>
      <c r="K319" s="253"/>
      <c r="L319" s="252"/>
      <c r="M319" s="42"/>
      <c r="N319" s="42"/>
      <c r="O319" s="41"/>
      <c r="P319" s="70"/>
    </row>
    <row r="320" spans="1:16" ht="14.25" customHeight="1">
      <c r="A320" s="54" t="s">
        <v>56</v>
      </c>
      <c r="B320" s="216" t="s">
        <v>18</v>
      </c>
      <c r="C320" s="214" t="s">
        <v>426</v>
      </c>
      <c r="D320" s="54" t="s">
        <v>427</v>
      </c>
      <c r="E320" s="54" t="s">
        <v>21</v>
      </c>
      <c r="F320" s="164" t="s">
        <v>181</v>
      </c>
      <c r="G320" s="56"/>
      <c r="H320" s="56"/>
      <c r="I320" s="56"/>
      <c r="J320" s="54"/>
      <c r="K320" s="54"/>
      <c r="L320" s="56"/>
      <c r="M320" s="39" t="s">
        <v>182</v>
      </c>
      <c r="N320" s="39" t="s">
        <v>60</v>
      </c>
      <c r="O320" s="10" t="s">
        <v>68</v>
      </c>
      <c r="P320" s="54"/>
    </row>
    <row r="321" spans="1:16" ht="14.25" customHeight="1">
      <c r="A321" s="54"/>
      <c r="B321" s="216"/>
      <c r="C321" s="214"/>
      <c r="D321" s="54"/>
      <c r="E321" s="54" t="s">
        <v>25</v>
      </c>
      <c r="F321" s="164" t="s">
        <v>428</v>
      </c>
      <c r="G321" s="56">
        <v>4</v>
      </c>
      <c r="H321" s="56">
        <v>0</v>
      </c>
      <c r="I321" s="56">
        <v>8</v>
      </c>
      <c r="J321" s="54" t="s">
        <v>39</v>
      </c>
      <c r="K321" s="54" t="s">
        <v>44</v>
      </c>
      <c r="L321" s="56"/>
      <c r="M321" s="39"/>
      <c r="N321" s="48"/>
      <c r="O321" s="48"/>
      <c r="P321" s="54"/>
    </row>
    <row r="322" spans="1:16" ht="14.25" customHeight="1">
      <c r="A322" s="56"/>
      <c r="B322" s="216"/>
      <c r="C322" s="214"/>
      <c r="D322" s="54"/>
      <c r="F322" s="54" t="s">
        <v>429</v>
      </c>
      <c r="G322" s="56">
        <v>5</v>
      </c>
      <c r="H322" s="56">
        <v>0</v>
      </c>
      <c r="I322" s="56">
        <v>16</v>
      </c>
      <c r="J322" s="54" t="s">
        <v>39</v>
      </c>
      <c r="K322" s="54" t="s">
        <v>44</v>
      </c>
      <c r="L322" s="56"/>
      <c r="M322" s="39"/>
      <c r="N322" s="48"/>
      <c r="O322" s="48"/>
      <c r="P322" s="48"/>
    </row>
    <row r="323" spans="1:16" ht="14.25" customHeight="1">
      <c r="A323" s="251"/>
      <c r="B323" s="252"/>
      <c r="C323" s="252"/>
      <c r="D323" s="253"/>
      <c r="E323" s="251"/>
      <c r="F323" s="252"/>
      <c r="G323" s="252"/>
      <c r="H323" s="252"/>
      <c r="I323" s="252"/>
      <c r="J323" s="252"/>
      <c r="K323" s="253"/>
      <c r="L323" s="252"/>
      <c r="M323" s="42"/>
      <c r="N323" s="42"/>
      <c r="O323" s="41"/>
      <c r="P323" s="70"/>
    </row>
  </sheetData>
  <mergeCells count="66">
    <mergeCell ref="L177:L178"/>
    <mergeCell ref="M177:M178"/>
    <mergeCell ref="O177:O178"/>
    <mergeCell ref="P177:P178"/>
    <mergeCell ref="L173:L174"/>
    <mergeCell ref="M173:M174"/>
    <mergeCell ref="O173:O174"/>
    <mergeCell ref="P173:P174"/>
    <mergeCell ref="E177:E178"/>
    <mergeCell ref="F177:F178"/>
    <mergeCell ref="G177:G178"/>
    <mergeCell ref="H177:H178"/>
    <mergeCell ref="I177:I178"/>
    <mergeCell ref="J177:J178"/>
    <mergeCell ref="K167:K170"/>
    <mergeCell ref="L167:L170"/>
    <mergeCell ref="M167:M170"/>
    <mergeCell ref="O167:O170"/>
    <mergeCell ref="E173:E174"/>
    <mergeCell ref="F173:F174"/>
    <mergeCell ref="G173:G174"/>
    <mergeCell ref="H173:H174"/>
    <mergeCell ref="I173:I174"/>
    <mergeCell ref="J173:J174"/>
    <mergeCell ref="L163:L164"/>
    <mergeCell ref="M163:M164"/>
    <mergeCell ref="O163:O164"/>
    <mergeCell ref="P163:P164"/>
    <mergeCell ref="E167:E170"/>
    <mergeCell ref="F167:F170"/>
    <mergeCell ref="G167:G170"/>
    <mergeCell ref="H167:H170"/>
    <mergeCell ref="I167:I170"/>
    <mergeCell ref="J167:J170"/>
    <mergeCell ref="K159:K160"/>
    <mergeCell ref="L159:L160"/>
    <mergeCell ref="M159:M160"/>
    <mergeCell ref="O159:O160"/>
    <mergeCell ref="E163:E164"/>
    <mergeCell ref="F163:F164"/>
    <mergeCell ref="G163:G164"/>
    <mergeCell ref="H163:H164"/>
    <mergeCell ref="I163:I164"/>
    <mergeCell ref="J163:J164"/>
    <mergeCell ref="E159:E160"/>
    <mergeCell ref="F159:F160"/>
    <mergeCell ref="G159:G160"/>
    <mergeCell ref="H159:H160"/>
    <mergeCell ref="I159:I160"/>
    <mergeCell ref="J159:J160"/>
    <mergeCell ref="L151:L152"/>
    <mergeCell ref="M151:M152"/>
    <mergeCell ref="O151:O152"/>
    <mergeCell ref="P151:P152"/>
    <mergeCell ref="B155:B156"/>
    <mergeCell ref="C155:C156"/>
    <mergeCell ref="D155:D156"/>
    <mergeCell ref="E155:E156"/>
    <mergeCell ref="M155:M156"/>
    <mergeCell ref="O155:O156"/>
    <mergeCell ref="E151:E152"/>
    <mergeCell ref="F151:F152"/>
    <mergeCell ref="G151:G152"/>
    <mergeCell ref="H151:H152"/>
    <mergeCell ref="I151:I152"/>
    <mergeCell ref="J151:J152"/>
  </mergeCells>
  <conditionalFormatting sqref="O1:O315">
    <cfRule type="cellIs" dxfId="7" priority="7" operator="equal">
      <formula>"No"</formula>
    </cfRule>
    <cfRule type="cellIs" dxfId="6" priority="8" operator="equal">
      <formula>"Yes"</formula>
    </cfRule>
  </conditionalFormatting>
  <conditionalFormatting sqref="O317">
    <cfRule type="cellIs" dxfId="5" priority="5" operator="equal">
      <formula>"No"</formula>
    </cfRule>
    <cfRule type="cellIs" dxfId="4" priority="6" operator="equal">
      <formula>"Yes"</formula>
    </cfRule>
  </conditionalFormatting>
  <conditionalFormatting sqref="O319:O320">
    <cfRule type="cellIs" dxfId="3" priority="3" operator="equal">
      <formula>"No"</formula>
    </cfRule>
    <cfRule type="cellIs" dxfId="2" priority="4" operator="equal">
      <formula>"Yes"</formula>
    </cfRule>
  </conditionalFormatting>
  <conditionalFormatting sqref="O323:O1048576">
    <cfRule type="cellIs" dxfId="1" priority="1" operator="equal">
      <formula>"No"</formula>
    </cfRule>
    <cfRule type="cellIs" dxfId="0" priority="2" operator="equal">
      <formula>"Yes"</formula>
    </cfRule>
  </conditionalFormatting>
  <hyperlinks>
    <hyperlink ref="A1" location="'Document Regulation'!A1" display="Back to first page" xr:uid="{7EAA32BE-16C2-4BC7-BB5D-76D88B6B24EC}"/>
  </hyperlinks>
  <pageMargins left="0.78740157499999996" right="0.78740157499999996" top="0.984251969" bottom="0.984251969" header="0.51180555555555596" footer="0.51180555555555596"/>
  <pageSetup paperSize="9" firstPageNumber="0" orientation="portrait" useFirstPageNumber="1" horizontalDpi="300" verticalDpi="300"/>
  <headerFooter alignWithMargin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Routines Data (0x31)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2026-07-18T15:09:29Z</dcterms:created>
  <dcterms:modified xsi:type="dcterms:W3CDTF">2026-07-18T15:10:03Z</dcterms:modified>
</cp:coreProperties>
</file>